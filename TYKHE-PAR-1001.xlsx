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ykhe\Desktop\"/>
    </mc:Choice>
  </mc:AlternateContent>
  <xr:revisionPtr revIDLastSave="0" documentId="13_ncr:1_{D37644F2-2C2B-41E4-98D4-7A322C6C1609}" xr6:coauthVersionLast="47" xr6:coauthVersionMax="47" xr10:uidLastSave="{00000000-0000-0000-0000-000000000000}"/>
  <bookViews>
    <workbookView xWindow="-120" yWindow="-120" windowWidth="29040" windowHeight="15720" tabRatio="664" firstSheet="1" activeTab="3" xr2:uid="{00000000-000D-0000-FFFF-FFFF00000000}"/>
  </bookViews>
  <sheets>
    <sheet name="Header" sheetId="7" r:id="rId1"/>
    <sheet name="Game" sheetId="1" r:id="rId2"/>
    <sheet name="Paytable" sheetId="3" r:id="rId3"/>
    <sheet name="Reel Strips" sheetId="2" r:id="rId4"/>
    <sheet name="Statistics" sheetId="4" r:id="rId5"/>
    <sheet name="SECG-5001" sheetId="8" r:id="rId6"/>
    <sheet name="SECG-5002" sheetId="9" r:id="rId7"/>
    <sheet name="SECG-5003" sheetId="10" r:id="rId8"/>
    <sheet name="SECG-5004" sheetId="11" r:id="rId9"/>
    <sheet name="SECG-5005" sheetId="12" r:id="rId10"/>
    <sheet name="Sheet2" sheetId="14" r:id="rId11"/>
  </sheets>
  <definedNames>
    <definedName name="_xlnm._FilterDatabase" localSheetId="2" hidden="1">Paytable!$B$6:$BK$46</definedName>
    <definedName name="_xlnm._FilterDatabase" localSheetId="3" hidden="1">'Reel Strips'!#REF!</definedName>
    <definedName name="COIN1_COUT">Paytable!$U$49</definedName>
    <definedName name="COIN1_HITS">Paytable!$P$49</definedName>
    <definedName name="COIN1_HTFQ">Paytable!$P$3</definedName>
    <definedName name="COIN1_POUT">Paytable!$S$3</definedName>
    <definedName name="COIN2_COUT">Paytable!$AE$49</definedName>
    <definedName name="COIN2_HITS">Paytable!$Z$49</definedName>
    <definedName name="COIN2_HTFQ">Paytable!$Z$3</definedName>
    <definedName name="COIN2_POUT">Paytable!$AC$3</definedName>
    <definedName name="COIN3_COUT">Paytable!$AO$49</definedName>
    <definedName name="COIN3_HITS">Paytable!$AJ$49</definedName>
    <definedName name="COIN3_HTFQ">Paytable!$AJ$3</definedName>
    <definedName name="COIN3_POUT">Paytable!$AM$3</definedName>
    <definedName name="COIN4_COUT">Paytable!$AY$49</definedName>
    <definedName name="COIN4_HITS">Paytable!$AT$49</definedName>
    <definedName name="COIN4_HTFQ">Paytable!$AT$3</definedName>
    <definedName name="COIN4_POUT">Paytable!$AW$3</definedName>
    <definedName name="COIN5_COUT">Paytable!$BI$49</definedName>
    <definedName name="COIN5_HITS">Paytable!$BD$49</definedName>
    <definedName name="COIN5_HTFQ">Paytable!$BD$3</definedName>
    <definedName name="COIN5_POUT">Paytable!$BG$3</definedName>
    <definedName name="CYCLE">Paytable!$H$2</definedName>
    <definedName name="PAY_SYMBOLS">'Reel Strips'!$B$10:$B$33</definedName>
    <definedName name="PAYTABLE">Paytable!$B$6:$DD$48</definedName>
    <definedName name="REEL_LAYOUT">'Reel Strips'!$T$10:$AK$41</definedName>
    <definedName name="REEL1_ASTOPS">'Reel Strips'!$C$4</definedName>
    <definedName name="REEL1_VSTOPS">'Reel Strips'!$C$5</definedName>
    <definedName name="REEL2_ASTOPS">'Reel Strips'!$D$4</definedName>
    <definedName name="REEL2_VSTOPS">'Reel Strips'!$D$5</definedName>
    <definedName name="REEL3_ASTOPS">'Reel Strips'!$E$4</definedName>
    <definedName name="REEL3_VSTOPS">'Reel Strips'!$E$5</definedName>
    <definedName name="SG5001_COUNT">'SECG-5001'!$E$7</definedName>
    <definedName name="SG5002_CYCLE">'SECG-5002'!$D$16</definedName>
    <definedName name="SG5003_CYCLE">'SECG-5003'!$D$18</definedName>
    <definedName name="SG5004_COUNT">'SECG-5004'!$E$7</definedName>
    <definedName name="SG5004_CYCLE">'SECG-5004'!#REF!</definedName>
    <definedName name="SG5005_CYCLE">'SECG-5005'!$D$30</definedName>
    <definedName name="SYMBOL_FACTORS">'Reel Strips'!$B$10:$Q$33</definedName>
    <definedName name="SYMBOLS">Game!$AB$3:$AB$23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4" l="1"/>
  <c r="C12" i="14"/>
  <c r="C13" i="14"/>
  <c r="C10" i="14"/>
  <c r="D10" i="14"/>
  <c r="D14" i="14" s="1"/>
  <c r="M7" i="14" s="1"/>
  <c r="U20" i="1"/>
  <c r="V20" i="1"/>
  <c r="W20" i="1"/>
  <c r="X20" i="1"/>
  <c r="T20" i="1"/>
  <c r="U13" i="1"/>
  <c r="V13" i="1"/>
  <c r="W13" i="1"/>
  <c r="X13" i="1"/>
  <c r="U14" i="1"/>
  <c r="V14" i="1"/>
  <c r="W14" i="1"/>
  <c r="X14" i="1"/>
  <c r="U15" i="1"/>
  <c r="V15" i="1"/>
  <c r="W15" i="1"/>
  <c r="X15" i="1"/>
  <c r="T15" i="1"/>
  <c r="T14" i="1"/>
  <c r="T13" i="1"/>
  <c r="C14" i="14" l="1"/>
  <c r="N5" i="14" s="1"/>
  <c r="K21" i="1"/>
  <c r="L21" i="1"/>
  <c r="M21" i="1"/>
  <c r="N21" i="1"/>
  <c r="J21" i="1"/>
  <c r="I42" i="3" l="1"/>
  <c r="J42" i="3"/>
  <c r="K42" i="3"/>
  <c r="L42" i="3"/>
  <c r="E9" i="11" l="1"/>
  <c r="E9" i="8"/>
  <c r="I40" i="4"/>
  <c r="J40" i="4" s="1"/>
  <c r="I41" i="4"/>
  <c r="I42" i="4"/>
  <c r="J42" i="4" s="1"/>
  <c r="I43" i="4"/>
  <c r="J43" i="4" s="1"/>
  <c r="I44" i="4"/>
  <c r="N44" i="4" s="1"/>
  <c r="I45" i="4"/>
  <c r="L45" i="4" s="1"/>
  <c r="I46" i="4"/>
  <c r="I47" i="4"/>
  <c r="P47" i="4" s="1"/>
  <c r="I6" i="4"/>
  <c r="P6" i="4" s="1"/>
  <c r="I7" i="4"/>
  <c r="J7" i="4" s="1"/>
  <c r="I8" i="4"/>
  <c r="J8" i="4" s="1"/>
  <c r="I9" i="4"/>
  <c r="J9" i="4" s="1"/>
  <c r="I10" i="4"/>
  <c r="L10" i="4" s="1"/>
  <c r="I11" i="4"/>
  <c r="R11" i="4" s="1"/>
  <c r="I12" i="4"/>
  <c r="J12" i="4" s="1"/>
  <c r="I13" i="4"/>
  <c r="I14" i="4"/>
  <c r="I15" i="4"/>
  <c r="I16" i="4"/>
  <c r="J16" i="4" s="1"/>
  <c r="I17" i="4"/>
  <c r="J17" i="4" s="1"/>
  <c r="I18" i="4"/>
  <c r="I19" i="4"/>
  <c r="R19" i="4" s="1"/>
  <c r="I20" i="4"/>
  <c r="J20" i="4" s="1"/>
  <c r="I21" i="4"/>
  <c r="I22" i="4"/>
  <c r="I23" i="4"/>
  <c r="I24" i="4"/>
  <c r="J24" i="4" s="1"/>
  <c r="I25" i="4"/>
  <c r="I26" i="4"/>
  <c r="L26" i="4" s="1"/>
  <c r="I27" i="4"/>
  <c r="R27" i="4" s="1"/>
  <c r="I28" i="4"/>
  <c r="J28" i="4" s="1"/>
  <c r="I29" i="4"/>
  <c r="I30" i="4"/>
  <c r="I31" i="4"/>
  <c r="I32" i="4"/>
  <c r="J32" i="4" s="1"/>
  <c r="I33" i="4"/>
  <c r="J33" i="4" s="1"/>
  <c r="I34" i="4"/>
  <c r="I35" i="4"/>
  <c r="R35" i="4" s="1"/>
  <c r="I36" i="4"/>
  <c r="J36" i="4" s="1"/>
  <c r="I37" i="4"/>
  <c r="I38" i="4"/>
  <c r="P38" i="4" s="1"/>
  <c r="I39" i="4"/>
  <c r="AT48" i="3"/>
  <c r="AW48" i="3" s="1"/>
  <c r="AV48" i="3"/>
  <c r="AY48" i="3"/>
  <c r="AJ48" i="3"/>
  <c r="AL48" i="3" s="1"/>
  <c r="Z48" i="3"/>
  <c r="AB48" i="3" s="1"/>
  <c r="P48" i="3"/>
  <c r="R48" i="3" s="1"/>
  <c r="I47" i="3"/>
  <c r="J47" i="3"/>
  <c r="K47" i="3"/>
  <c r="L47" i="3"/>
  <c r="H47" i="3"/>
  <c r="H42" i="3"/>
  <c r="I38" i="3"/>
  <c r="J38" i="3"/>
  <c r="K38" i="3"/>
  <c r="L38" i="3"/>
  <c r="H38" i="3"/>
  <c r="I40" i="3"/>
  <c r="J40" i="3"/>
  <c r="K40" i="3"/>
  <c r="L40" i="3"/>
  <c r="H40" i="3"/>
  <c r="S48" i="3" l="1"/>
  <c r="U48" i="3"/>
  <c r="AM48" i="3"/>
  <c r="AE48" i="3"/>
  <c r="AO48" i="3"/>
  <c r="L37" i="4"/>
  <c r="P46" i="4"/>
  <c r="J39" i="4"/>
  <c r="J41" i="4"/>
  <c r="P45" i="4"/>
  <c r="R42" i="4"/>
  <c r="R46" i="4"/>
  <c r="N42" i="4"/>
  <c r="N46" i="4"/>
  <c r="P44" i="4"/>
  <c r="P41" i="4"/>
  <c r="P40" i="4"/>
  <c r="R47" i="4"/>
  <c r="N47" i="4"/>
  <c r="R43" i="4"/>
  <c r="N43" i="4"/>
  <c r="R44" i="4"/>
  <c r="P42" i="4"/>
  <c r="R40" i="4"/>
  <c r="N40" i="4"/>
  <c r="R45" i="4"/>
  <c r="N45" i="4"/>
  <c r="P43" i="4"/>
  <c r="R41" i="4"/>
  <c r="N41" i="4"/>
  <c r="N39" i="4"/>
  <c r="J27" i="4"/>
  <c r="L46" i="4"/>
  <c r="L41" i="4"/>
  <c r="L47" i="4"/>
  <c r="L43" i="4"/>
  <c r="L42" i="4"/>
  <c r="N16" i="4"/>
  <c r="L44" i="4"/>
  <c r="L40" i="4"/>
  <c r="N32" i="4"/>
  <c r="R37" i="4"/>
  <c r="J11" i="4"/>
  <c r="R8" i="4"/>
  <c r="J47" i="4"/>
  <c r="N33" i="4"/>
  <c r="N37" i="4"/>
  <c r="R33" i="4"/>
  <c r="L33" i="4"/>
  <c r="R17" i="4"/>
  <c r="L17" i="4"/>
  <c r="J45" i="4"/>
  <c r="P37" i="4"/>
  <c r="N17" i="4"/>
  <c r="J46" i="4"/>
  <c r="J37" i="4"/>
  <c r="P33" i="4"/>
  <c r="P17" i="4"/>
  <c r="J44" i="4"/>
  <c r="N36" i="4"/>
  <c r="N35" i="4"/>
  <c r="N20" i="4"/>
  <c r="N19" i="4"/>
  <c r="R7" i="4"/>
  <c r="R39" i="4"/>
  <c r="L35" i="4"/>
  <c r="P27" i="4"/>
  <c r="L19" i="4"/>
  <c r="P11" i="4"/>
  <c r="N7" i="4"/>
  <c r="P35" i="4"/>
  <c r="R24" i="4"/>
  <c r="P19" i="4"/>
  <c r="R9" i="4"/>
  <c r="L9" i="4"/>
  <c r="J35" i="4"/>
  <c r="N28" i="4"/>
  <c r="N27" i="4"/>
  <c r="P26" i="4"/>
  <c r="N24" i="4"/>
  <c r="J19" i="4"/>
  <c r="N12" i="4"/>
  <c r="N11" i="4"/>
  <c r="P10" i="4"/>
  <c r="P9" i="4"/>
  <c r="N8" i="4"/>
  <c r="N9" i="4"/>
  <c r="R32" i="4"/>
  <c r="L27" i="4"/>
  <c r="R16" i="4"/>
  <c r="L11" i="4"/>
  <c r="L39" i="4"/>
  <c r="L38" i="4"/>
  <c r="L36" i="4"/>
  <c r="P36" i="4"/>
  <c r="L28" i="4"/>
  <c r="P28" i="4"/>
  <c r="J26" i="4"/>
  <c r="N26" i="4"/>
  <c r="R26" i="4"/>
  <c r="L20" i="4"/>
  <c r="P20" i="4"/>
  <c r="L12" i="4"/>
  <c r="P12" i="4"/>
  <c r="J10" i="4"/>
  <c r="N10" i="4"/>
  <c r="R10" i="4"/>
  <c r="L7" i="4"/>
  <c r="L6" i="4"/>
  <c r="P39" i="4"/>
  <c r="R36" i="4"/>
  <c r="R28" i="4"/>
  <c r="R20" i="4"/>
  <c r="R12" i="4"/>
  <c r="P7" i="4"/>
  <c r="J38" i="4"/>
  <c r="N38" i="4"/>
  <c r="R38" i="4"/>
  <c r="L32" i="4"/>
  <c r="P32" i="4"/>
  <c r="L24" i="4"/>
  <c r="P24" i="4"/>
  <c r="L16" i="4"/>
  <c r="P16" i="4"/>
  <c r="L8" i="4"/>
  <c r="P8" i="4"/>
  <c r="J6" i="4"/>
  <c r="N6" i="4"/>
  <c r="R6" i="4"/>
  <c r="AC48" i="3"/>
  <c r="O36" i="12"/>
  <c r="N36" i="12"/>
  <c r="M36" i="12"/>
  <c r="L36" i="12"/>
  <c r="K36" i="12"/>
  <c r="O38" i="12"/>
  <c r="N38" i="12"/>
  <c r="M38" i="12"/>
  <c r="L38" i="12"/>
  <c r="K38" i="12"/>
  <c r="O37" i="12"/>
  <c r="N37" i="12"/>
  <c r="M37" i="12"/>
  <c r="L37" i="12"/>
  <c r="K37" i="12"/>
  <c r="D42" i="12"/>
  <c r="O41" i="12"/>
  <c r="N41" i="12"/>
  <c r="M41" i="12"/>
  <c r="L41" i="12"/>
  <c r="K41" i="12"/>
  <c r="O40" i="12"/>
  <c r="N40" i="12"/>
  <c r="M40" i="12"/>
  <c r="L40" i="12"/>
  <c r="K40" i="12"/>
  <c r="O39" i="12"/>
  <c r="N39" i="12"/>
  <c r="M39" i="12"/>
  <c r="L39" i="12"/>
  <c r="K39" i="12"/>
  <c r="O35" i="12"/>
  <c r="N35" i="12"/>
  <c r="M35" i="12"/>
  <c r="L35" i="12"/>
  <c r="K35" i="12"/>
  <c r="G11" i="11"/>
  <c r="I11" i="11"/>
  <c r="E19" i="11"/>
  <c r="F11" i="11" s="1"/>
  <c r="F19" i="11"/>
  <c r="G19" i="11"/>
  <c r="H11" i="11" s="1"/>
  <c r="H19" i="11"/>
  <c r="D19" i="11"/>
  <c r="E11" i="11" s="1"/>
  <c r="O42" i="12" l="1"/>
  <c r="K42" i="12"/>
  <c r="L42" i="12"/>
  <c r="M42" i="12"/>
  <c r="N42" i="12"/>
  <c r="N24" i="1" l="1"/>
  <c r="K15" i="12" l="1"/>
  <c r="L15" i="12"/>
  <c r="M15" i="12"/>
  <c r="N15" i="12"/>
  <c r="K16" i="12"/>
  <c r="L16" i="12"/>
  <c r="M16" i="12"/>
  <c r="N16" i="12"/>
  <c r="K17" i="12"/>
  <c r="L17" i="12"/>
  <c r="M17" i="12"/>
  <c r="N17" i="12"/>
  <c r="K18" i="12"/>
  <c r="L18" i="12"/>
  <c r="M18" i="12"/>
  <c r="N18" i="12"/>
  <c r="K19" i="12"/>
  <c r="L19" i="12"/>
  <c r="M19" i="12"/>
  <c r="N19" i="12"/>
  <c r="K20" i="12"/>
  <c r="L20" i="12"/>
  <c r="M20" i="12"/>
  <c r="N20" i="12"/>
  <c r="K21" i="12"/>
  <c r="L21" i="12"/>
  <c r="M21" i="12"/>
  <c r="N21" i="12"/>
  <c r="K22" i="12"/>
  <c r="L22" i="12"/>
  <c r="M22" i="12"/>
  <c r="N22" i="12"/>
  <c r="K23" i="12"/>
  <c r="L23" i="12"/>
  <c r="M23" i="12"/>
  <c r="N23" i="12"/>
  <c r="K24" i="12"/>
  <c r="L24" i="12"/>
  <c r="M24" i="12"/>
  <c r="N24" i="12"/>
  <c r="K25" i="12"/>
  <c r="L25" i="12"/>
  <c r="M25" i="12"/>
  <c r="N25" i="12"/>
  <c r="K26" i="12"/>
  <c r="L26" i="12"/>
  <c r="M26" i="12"/>
  <c r="N26" i="12"/>
  <c r="K27" i="12"/>
  <c r="L27" i="12"/>
  <c r="M27" i="12"/>
  <c r="N27" i="12"/>
  <c r="K28" i="12"/>
  <c r="L28" i="12"/>
  <c r="M28" i="12"/>
  <c r="N28" i="12"/>
  <c r="K29" i="12"/>
  <c r="L29" i="12"/>
  <c r="M29" i="12"/>
  <c r="N29" i="12"/>
  <c r="L14" i="12"/>
  <c r="M14" i="12"/>
  <c r="N14" i="12"/>
  <c r="D30" i="12"/>
  <c r="O29" i="12"/>
  <c r="O28" i="12"/>
  <c r="O27" i="12"/>
  <c r="O26" i="12"/>
  <c r="O25" i="12"/>
  <c r="O24" i="12"/>
  <c r="O23" i="12"/>
  <c r="O22" i="12"/>
  <c r="O21" i="12"/>
  <c r="E41" i="12" l="1"/>
  <c r="E38" i="12"/>
  <c r="E36" i="12"/>
  <c r="E37" i="12"/>
  <c r="E39" i="12"/>
  <c r="E40" i="12"/>
  <c r="E35" i="12"/>
  <c r="E42" i="12" s="1"/>
  <c r="C8" i="1"/>
  <c r="K9" i="1"/>
  <c r="L9" i="1"/>
  <c r="M9" i="1"/>
  <c r="N9" i="1"/>
  <c r="K10" i="1"/>
  <c r="L10" i="1"/>
  <c r="M10" i="1"/>
  <c r="N10" i="1"/>
  <c r="K11" i="1"/>
  <c r="L11" i="1"/>
  <c r="M11" i="1"/>
  <c r="N11" i="1"/>
  <c r="J11" i="1"/>
  <c r="J10" i="1"/>
  <c r="J9" i="1"/>
  <c r="U18" i="1"/>
  <c r="V18" i="1"/>
  <c r="W18" i="1"/>
  <c r="X18" i="1"/>
  <c r="U19" i="1"/>
  <c r="V19" i="1"/>
  <c r="W19" i="1"/>
  <c r="X19" i="1"/>
  <c r="T19" i="1"/>
  <c r="T18" i="1"/>
  <c r="U10" i="1"/>
  <c r="V10" i="1"/>
  <c r="W10" i="1"/>
  <c r="X10" i="1"/>
  <c r="U11" i="1"/>
  <c r="V11" i="1"/>
  <c r="W11" i="1"/>
  <c r="X11" i="1"/>
  <c r="U12" i="1"/>
  <c r="V12" i="1"/>
  <c r="W12" i="1"/>
  <c r="X12" i="1"/>
  <c r="T12" i="1"/>
  <c r="T11" i="1"/>
  <c r="T10" i="1"/>
  <c r="U5" i="1"/>
  <c r="V5" i="1"/>
  <c r="W5" i="1"/>
  <c r="X5" i="1"/>
  <c r="U6" i="1"/>
  <c r="V6" i="1"/>
  <c r="W6" i="1"/>
  <c r="X6" i="1"/>
  <c r="U7" i="1"/>
  <c r="V7" i="1"/>
  <c r="W7" i="1"/>
  <c r="X7" i="1"/>
  <c r="T7" i="1"/>
  <c r="T6" i="1"/>
  <c r="T5" i="1"/>
  <c r="K24" i="1"/>
  <c r="L24" i="1"/>
  <c r="M24" i="1"/>
  <c r="K25" i="1"/>
  <c r="L25" i="1"/>
  <c r="M25" i="1"/>
  <c r="N25" i="1"/>
  <c r="J25" i="1"/>
  <c r="J24" i="1"/>
  <c r="K20" i="1"/>
  <c r="L20" i="1"/>
  <c r="M20" i="1"/>
  <c r="N20" i="1"/>
  <c r="J20" i="1"/>
  <c r="K19" i="1"/>
  <c r="L19" i="1"/>
  <c r="M19" i="1"/>
  <c r="N19" i="1"/>
  <c r="J19" i="1"/>
  <c r="K18" i="1"/>
  <c r="L18" i="1"/>
  <c r="M18" i="1"/>
  <c r="N18" i="1"/>
  <c r="J18" i="1"/>
  <c r="K16" i="1"/>
  <c r="L16" i="1"/>
  <c r="M16" i="1"/>
  <c r="N16" i="1"/>
  <c r="J16" i="1"/>
  <c r="K15" i="1"/>
  <c r="L15" i="1"/>
  <c r="M15" i="1"/>
  <c r="N15" i="1"/>
  <c r="J15" i="1"/>
  <c r="K14" i="1"/>
  <c r="L14" i="1"/>
  <c r="M14" i="1"/>
  <c r="N14" i="1"/>
  <c r="J14" i="1"/>
  <c r="K17" i="1"/>
  <c r="L17" i="1"/>
  <c r="M17" i="1"/>
  <c r="N17" i="1"/>
  <c r="J17" i="1"/>
  <c r="K8" i="1"/>
  <c r="L8" i="1"/>
  <c r="M8" i="1"/>
  <c r="N8" i="1"/>
  <c r="J8" i="1"/>
  <c r="J5" i="1"/>
  <c r="K5" i="1"/>
  <c r="L5" i="1"/>
  <c r="M5" i="1"/>
  <c r="N5" i="1"/>
  <c r="I35" i="3"/>
  <c r="L34" i="4" s="1"/>
  <c r="J35" i="3"/>
  <c r="N34" i="4" s="1"/>
  <c r="K35" i="3"/>
  <c r="P34" i="4" s="1"/>
  <c r="L35" i="3"/>
  <c r="R34" i="4" s="1"/>
  <c r="H35" i="3"/>
  <c r="J34" i="4" s="1"/>
  <c r="I32" i="3"/>
  <c r="L31" i="4" s="1"/>
  <c r="J32" i="3"/>
  <c r="N31" i="4" s="1"/>
  <c r="K32" i="3"/>
  <c r="P31" i="4" s="1"/>
  <c r="L32" i="3"/>
  <c r="R31" i="4" s="1"/>
  <c r="H32" i="3"/>
  <c r="J31" i="4" s="1"/>
  <c r="I31" i="3"/>
  <c r="L30" i="4" s="1"/>
  <c r="J31" i="3"/>
  <c r="N30" i="4" s="1"/>
  <c r="K31" i="3"/>
  <c r="P30" i="4" s="1"/>
  <c r="L31" i="3"/>
  <c r="R30" i="4" s="1"/>
  <c r="H31" i="3"/>
  <c r="J30" i="4" s="1"/>
  <c r="I30" i="3"/>
  <c r="L29" i="4" s="1"/>
  <c r="J30" i="3"/>
  <c r="N29" i="4" s="1"/>
  <c r="K30" i="3"/>
  <c r="P29" i="4" s="1"/>
  <c r="L30" i="3"/>
  <c r="R29" i="4" s="1"/>
  <c r="H30" i="3"/>
  <c r="J29" i="4" s="1"/>
  <c r="I26" i="3"/>
  <c r="L25" i="4" s="1"/>
  <c r="J26" i="3"/>
  <c r="N25" i="4" s="1"/>
  <c r="K26" i="3"/>
  <c r="P25" i="4" s="1"/>
  <c r="L26" i="3"/>
  <c r="R25" i="4" s="1"/>
  <c r="H26" i="3"/>
  <c r="J25" i="4" s="1"/>
  <c r="I24" i="3"/>
  <c r="L23" i="4" s="1"/>
  <c r="J24" i="3"/>
  <c r="N23" i="4" s="1"/>
  <c r="K24" i="3"/>
  <c r="P23" i="4" s="1"/>
  <c r="L24" i="3"/>
  <c r="R23" i="4" s="1"/>
  <c r="H24" i="3"/>
  <c r="J23" i="4" s="1"/>
  <c r="I23" i="3"/>
  <c r="L22" i="4" s="1"/>
  <c r="J23" i="3"/>
  <c r="N22" i="4" s="1"/>
  <c r="K23" i="3"/>
  <c r="P22" i="4" s="1"/>
  <c r="L23" i="3"/>
  <c r="R22" i="4" s="1"/>
  <c r="H23" i="3"/>
  <c r="J22" i="4" s="1"/>
  <c r="I22" i="3"/>
  <c r="L21" i="4" s="1"/>
  <c r="J22" i="3"/>
  <c r="N21" i="4" s="1"/>
  <c r="K22" i="3"/>
  <c r="P21" i="4" s="1"/>
  <c r="L22" i="3"/>
  <c r="R21" i="4" s="1"/>
  <c r="H22" i="3"/>
  <c r="J21" i="4" s="1"/>
  <c r="I19" i="3"/>
  <c r="L18" i="4" s="1"/>
  <c r="J19" i="3"/>
  <c r="N18" i="4" s="1"/>
  <c r="K19" i="3"/>
  <c r="P18" i="4" s="1"/>
  <c r="L19" i="3"/>
  <c r="R18" i="4" s="1"/>
  <c r="H19" i="3"/>
  <c r="J18" i="4" s="1"/>
  <c r="I16" i="3"/>
  <c r="L15" i="4" s="1"/>
  <c r="J16" i="3"/>
  <c r="N15" i="4" s="1"/>
  <c r="K16" i="3"/>
  <c r="P15" i="4" s="1"/>
  <c r="L16" i="3"/>
  <c r="R15" i="4" s="1"/>
  <c r="H16" i="3"/>
  <c r="J15" i="4" s="1"/>
  <c r="I15" i="3"/>
  <c r="L14" i="4" s="1"/>
  <c r="J15" i="3"/>
  <c r="N14" i="4" s="1"/>
  <c r="K15" i="3"/>
  <c r="P14" i="4" s="1"/>
  <c r="L15" i="3"/>
  <c r="R14" i="4" s="1"/>
  <c r="H15" i="3"/>
  <c r="J14" i="4" s="1"/>
  <c r="I14" i="3"/>
  <c r="L13" i="4" s="1"/>
  <c r="J14" i="3"/>
  <c r="N13" i="4" s="1"/>
  <c r="K14" i="3"/>
  <c r="P13" i="4" s="1"/>
  <c r="L14" i="3"/>
  <c r="R13" i="4" s="1"/>
  <c r="H14" i="3"/>
  <c r="J13" i="4" s="1"/>
  <c r="E22" i="8" l="1"/>
  <c r="F11" i="8" s="1"/>
  <c r="F22" i="8"/>
  <c r="G11" i="8" s="1"/>
  <c r="G22" i="8"/>
  <c r="H11" i="8" s="1"/>
  <c r="H22" i="8"/>
  <c r="D22" i="8"/>
  <c r="E11" i="8" s="1"/>
  <c r="I11" i="8" l="1"/>
  <c r="D16" i="9"/>
  <c r="E15" i="9" s="1"/>
  <c r="O15" i="9"/>
  <c r="N15" i="9"/>
  <c r="M15" i="9"/>
  <c r="L15" i="9"/>
  <c r="K15" i="9"/>
  <c r="O14" i="9"/>
  <c r="N14" i="9"/>
  <c r="M14" i="9"/>
  <c r="L14" i="9"/>
  <c r="K14" i="9"/>
  <c r="E14" i="9" l="1"/>
  <c r="E7" i="9"/>
  <c r="O16" i="9"/>
  <c r="I9" i="9" s="1"/>
  <c r="K16" i="9"/>
  <c r="E9" i="9" s="1"/>
  <c r="M16" i="9"/>
  <c r="G9" i="9" s="1"/>
  <c r="E16" i="9"/>
  <c r="N16" i="9"/>
  <c r="H9" i="9" s="1"/>
  <c r="L16" i="9"/>
  <c r="F9" i="9" s="1"/>
  <c r="K14" i="10"/>
  <c r="L14" i="10"/>
  <c r="M14" i="10"/>
  <c r="N14" i="10"/>
  <c r="O14" i="10"/>
  <c r="K15" i="10"/>
  <c r="L15" i="10"/>
  <c r="M15" i="10"/>
  <c r="N15" i="10"/>
  <c r="O15" i="10"/>
  <c r="K16" i="10"/>
  <c r="L16" i="10"/>
  <c r="M16" i="10"/>
  <c r="N16" i="10"/>
  <c r="O16" i="10"/>
  <c r="K17" i="10"/>
  <c r="L17" i="10"/>
  <c r="M17" i="10"/>
  <c r="N17" i="10"/>
  <c r="O17" i="10"/>
  <c r="D18" i="10"/>
  <c r="E7" i="10" s="1"/>
  <c r="K14" i="12"/>
  <c r="O14" i="12"/>
  <c r="O15" i="12"/>
  <c r="O16" i="12"/>
  <c r="O17" i="12"/>
  <c r="O18" i="12"/>
  <c r="O19" i="12"/>
  <c r="O20" i="12"/>
  <c r="O30" i="12" l="1"/>
  <c r="J9" i="12" s="1"/>
  <c r="F7" i="12"/>
  <c r="E27" i="12"/>
  <c r="E29" i="12"/>
  <c r="E25" i="12"/>
  <c r="E23" i="12"/>
  <c r="E21" i="12"/>
  <c r="E24" i="12"/>
  <c r="E22" i="12"/>
  <c r="E28" i="12"/>
  <c r="E26" i="12"/>
  <c r="N30" i="12"/>
  <c r="I9" i="12" s="1"/>
  <c r="M30" i="12"/>
  <c r="H9" i="12" s="1"/>
  <c r="N18" i="10"/>
  <c r="H9" i="10" s="1"/>
  <c r="O18" i="10"/>
  <c r="I9" i="10" s="1"/>
  <c r="K18" i="10"/>
  <c r="E9" i="10" s="1"/>
  <c r="E16" i="10"/>
  <c r="E17" i="10"/>
  <c r="L18" i="10"/>
  <c r="F9" i="10" s="1"/>
  <c r="M18" i="10"/>
  <c r="G9" i="10" s="1"/>
  <c r="L30" i="12"/>
  <c r="G9" i="12" s="1"/>
  <c r="K30" i="12"/>
  <c r="F9" i="12" s="1"/>
  <c r="E20" i="12"/>
  <c r="E16" i="12"/>
  <c r="E14" i="10"/>
  <c r="E15" i="10"/>
  <c r="E18" i="12"/>
  <c r="E14" i="12"/>
  <c r="E19" i="12"/>
  <c r="E15" i="12"/>
  <c r="E17" i="12"/>
  <c r="E30" i="12" l="1"/>
  <c r="E18" i="10"/>
  <c r="BB36" i="3" l="1"/>
  <c r="BD36" i="3" s="1"/>
  <c r="BI36" i="3" s="1"/>
  <c r="BB35" i="3"/>
  <c r="BB34" i="3"/>
  <c r="BD34" i="3" s="1"/>
  <c r="BB33" i="3"/>
  <c r="BD33" i="3" s="1"/>
  <c r="BI33" i="3" s="1"/>
  <c r="BB32" i="3"/>
  <c r="BB31" i="3"/>
  <c r="BB30" i="3"/>
  <c r="BB27" i="3"/>
  <c r="BD27" i="3" s="1"/>
  <c r="BB26" i="3"/>
  <c r="BB25" i="3"/>
  <c r="BD25" i="3" s="1"/>
  <c r="BC46" i="3" s="1"/>
  <c r="BB24" i="3"/>
  <c r="BB23" i="3"/>
  <c r="BB22" i="3"/>
  <c r="BB20" i="3"/>
  <c r="BD20" i="3" s="1"/>
  <c r="BB19" i="3"/>
  <c r="BB16" i="3"/>
  <c r="BB15" i="3"/>
  <c r="BB14" i="3"/>
  <c r="BB28" i="3"/>
  <c r="BD28" i="3" s="1"/>
  <c r="BB17" i="3"/>
  <c r="BD17" i="3" s="1"/>
  <c r="BB13" i="3"/>
  <c r="BD13" i="3" s="1"/>
  <c r="BB12" i="3"/>
  <c r="BD12" i="3" s="1"/>
  <c r="BB10" i="3"/>
  <c r="BD10" i="3" s="1"/>
  <c r="BB11" i="3"/>
  <c r="BD11" i="3" s="1"/>
  <c r="BI11" i="3" s="1"/>
  <c r="BB9" i="3"/>
  <c r="BD9" i="3" s="1"/>
  <c r="BB8" i="3"/>
  <c r="BD8" i="3" s="1"/>
  <c r="BB7" i="3"/>
  <c r="BD7" i="3" s="1"/>
  <c r="BB6" i="3"/>
  <c r="AR36" i="3"/>
  <c r="AT36" i="3" s="1"/>
  <c r="AR35" i="3"/>
  <c r="AR34" i="3"/>
  <c r="AT34" i="3" s="1"/>
  <c r="AR33" i="3"/>
  <c r="AT33" i="3" s="1"/>
  <c r="AR32" i="3"/>
  <c r="AR31" i="3"/>
  <c r="AR30" i="3"/>
  <c r="AR27" i="3"/>
  <c r="AT27" i="3" s="1"/>
  <c r="AR26" i="3"/>
  <c r="AR25" i="3"/>
  <c r="AT25" i="3" s="1"/>
  <c r="AR24" i="3"/>
  <c r="AR23" i="3"/>
  <c r="AR22" i="3"/>
  <c r="AR20" i="3"/>
  <c r="AT20" i="3" s="1"/>
  <c r="AR19" i="3"/>
  <c r="AR16" i="3"/>
  <c r="AR15" i="3"/>
  <c r="AR14" i="3"/>
  <c r="AR28" i="3"/>
  <c r="AT28" i="3" s="1"/>
  <c r="AR17" i="3"/>
  <c r="AT17" i="3" s="1"/>
  <c r="AR13" i="3"/>
  <c r="AT13" i="3" s="1"/>
  <c r="AR12" i="3"/>
  <c r="AT12" i="3" s="1"/>
  <c r="AY12" i="3" s="1"/>
  <c r="AR10" i="3"/>
  <c r="AT10" i="3" s="1"/>
  <c r="AR11" i="3"/>
  <c r="AT11" i="3" s="1"/>
  <c r="AR9" i="3"/>
  <c r="AT9" i="3" s="1"/>
  <c r="AR8" i="3"/>
  <c r="AT8" i="3" s="1"/>
  <c r="AR7" i="3"/>
  <c r="AT7" i="3" s="1"/>
  <c r="AR6" i="3"/>
  <c r="AH6" i="3"/>
  <c r="AH36" i="3"/>
  <c r="AJ36" i="3" s="1"/>
  <c r="AH35" i="3"/>
  <c r="AH34" i="3"/>
  <c r="AJ34" i="3" s="1"/>
  <c r="AH33" i="3"/>
  <c r="AJ33" i="3" s="1"/>
  <c r="AH32" i="3"/>
  <c r="AH31" i="3"/>
  <c r="AH30" i="3"/>
  <c r="AH27" i="3"/>
  <c r="AJ27" i="3" s="1"/>
  <c r="AH26" i="3"/>
  <c r="AH25" i="3"/>
  <c r="AJ25" i="3" s="1"/>
  <c r="AH24" i="3"/>
  <c r="AH23" i="3"/>
  <c r="AH22" i="3"/>
  <c r="AH20" i="3"/>
  <c r="AJ20" i="3" s="1"/>
  <c r="AH19" i="3"/>
  <c r="AH16" i="3"/>
  <c r="AH15" i="3"/>
  <c r="AH14" i="3"/>
  <c r="AH28" i="3"/>
  <c r="AJ28" i="3" s="1"/>
  <c r="AH17" i="3"/>
  <c r="AJ17" i="3" s="1"/>
  <c r="AH13" i="3"/>
  <c r="AJ13" i="3" s="1"/>
  <c r="AH12" i="3"/>
  <c r="AJ12" i="3" s="1"/>
  <c r="AH10" i="3"/>
  <c r="AJ10" i="3" s="1"/>
  <c r="AH11" i="3"/>
  <c r="AJ11" i="3" s="1"/>
  <c r="AH9" i="3"/>
  <c r="AJ9" i="3" s="1"/>
  <c r="AH8" i="3"/>
  <c r="AJ8" i="3" s="1"/>
  <c r="AH7" i="3"/>
  <c r="AJ7" i="3" s="1"/>
  <c r="X36" i="3"/>
  <c r="Z36" i="3" s="1"/>
  <c r="AE36" i="3" s="1"/>
  <c r="X35" i="3"/>
  <c r="X34" i="3"/>
  <c r="Z34" i="3" s="1"/>
  <c r="X33" i="3"/>
  <c r="Z33" i="3" s="1"/>
  <c r="X32" i="3"/>
  <c r="X31" i="3"/>
  <c r="X30" i="3"/>
  <c r="X27" i="3"/>
  <c r="Z27" i="3" s="1"/>
  <c r="X26" i="3"/>
  <c r="X25" i="3"/>
  <c r="Z25" i="3" s="1"/>
  <c r="X24" i="3"/>
  <c r="X23" i="3"/>
  <c r="X22" i="3"/>
  <c r="X20" i="3"/>
  <c r="Z20" i="3" s="1"/>
  <c r="X19" i="3"/>
  <c r="X16" i="3"/>
  <c r="X15" i="3"/>
  <c r="X14" i="3"/>
  <c r="X28" i="3"/>
  <c r="Z28" i="3" s="1"/>
  <c r="X17" i="3"/>
  <c r="Z17" i="3" s="1"/>
  <c r="X13" i="3"/>
  <c r="Z13" i="3" s="1"/>
  <c r="X12" i="3"/>
  <c r="Z12" i="3" s="1"/>
  <c r="X10" i="3"/>
  <c r="Z10" i="3" s="1"/>
  <c r="X11" i="3"/>
  <c r="Z11" i="3" s="1"/>
  <c r="X9" i="3"/>
  <c r="Z9" i="3" s="1"/>
  <c r="X8" i="3"/>
  <c r="Z8" i="3" s="1"/>
  <c r="X7" i="3"/>
  <c r="Z7" i="3" s="1"/>
  <c r="X6" i="3"/>
  <c r="AI46" i="3" l="1"/>
  <c r="Y46" i="3"/>
  <c r="AS46" i="3"/>
  <c r="BC39" i="3"/>
  <c r="AI39" i="3"/>
  <c r="Y39" i="3"/>
  <c r="AS39" i="3"/>
  <c r="AY17" i="3"/>
  <c r="BC18" i="3"/>
  <c r="BC21" i="3"/>
  <c r="BC29" i="3"/>
  <c r="AS18" i="3"/>
  <c r="AS21" i="3"/>
  <c r="AS29" i="3"/>
  <c r="AI29" i="3"/>
  <c r="AI18" i="3"/>
  <c r="AI21" i="3"/>
  <c r="AO20" i="3"/>
  <c r="AE9" i="3"/>
  <c r="Y29" i="3"/>
  <c r="Y18" i="3"/>
  <c r="AE8" i="3"/>
  <c r="Y21" i="3"/>
  <c r="AJ6" i="3"/>
  <c r="AO6" i="3" s="1"/>
  <c r="Z6" i="3"/>
  <c r="AE6" i="3" s="1"/>
  <c r="AT6" i="3"/>
  <c r="AY6" i="3" s="1"/>
  <c r="BD6" i="3"/>
  <c r="BI6" i="3" s="1"/>
  <c r="AO11" i="3"/>
  <c r="AE17" i="3"/>
  <c r="AE11" i="3"/>
  <c r="AO27" i="3"/>
  <c r="AO13" i="3"/>
  <c r="AE13" i="3"/>
  <c r="AY27" i="3"/>
  <c r="AE33" i="3"/>
  <c r="AE20" i="3"/>
  <c r="AO36" i="3"/>
  <c r="BI17" i="3"/>
  <c r="AO33" i="3"/>
  <c r="BI9" i="3"/>
  <c r="AY9" i="3"/>
  <c r="AY36" i="3"/>
  <c r="AO9" i="3"/>
  <c r="AO17" i="3"/>
  <c r="AY13" i="3"/>
  <c r="BI20" i="3"/>
  <c r="BI13" i="3"/>
  <c r="AY33" i="3"/>
  <c r="AY20" i="3"/>
  <c r="AY11" i="3"/>
  <c r="BI12" i="3"/>
  <c r="BI27" i="3"/>
  <c r="BI8" i="3"/>
  <c r="BI34" i="3"/>
  <c r="BI25" i="3"/>
  <c r="BI28" i="3"/>
  <c r="BI10" i="3"/>
  <c r="BI7" i="3"/>
  <c r="AY8" i="3"/>
  <c r="AY28" i="3"/>
  <c r="AY10" i="3"/>
  <c r="AY34" i="3"/>
  <c r="AY25" i="3"/>
  <c r="AY7" i="3"/>
  <c r="AO12" i="3"/>
  <c r="AO8" i="3"/>
  <c r="AO34" i="3"/>
  <c r="AO25" i="3"/>
  <c r="AO28" i="3"/>
  <c r="AO10" i="3"/>
  <c r="AO7" i="3"/>
  <c r="AE12" i="3"/>
  <c r="AE28" i="3"/>
  <c r="AE10" i="3"/>
  <c r="AE27" i="3"/>
  <c r="AE34" i="3"/>
  <c r="AE25" i="3"/>
  <c r="AE7" i="3"/>
  <c r="N7" i="3" l="1"/>
  <c r="P7" i="3" s="1"/>
  <c r="O18" i="3" s="1"/>
  <c r="N8" i="3"/>
  <c r="P8" i="3" s="1"/>
  <c r="O21" i="3" s="1"/>
  <c r="N9" i="3"/>
  <c r="P9" i="3" s="1"/>
  <c r="O29" i="3" s="1"/>
  <c r="N10" i="3"/>
  <c r="P10" i="3" s="1"/>
  <c r="N11" i="3"/>
  <c r="P11" i="3" s="1"/>
  <c r="N12" i="3"/>
  <c r="P12" i="3" s="1"/>
  <c r="N17" i="3"/>
  <c r="P17" i="3" s="1"/>
  <c r="N28" i="3"/>
  <c r="P28" i="3" s="1"/>
  <c r="N13" i="3"/>
  <c r="P13" i="3" s="1"/>
  <c r="N14" i="3"/>
  <c r="N15" i="3"/>
  <c r="N16" i="3"/>
  <c r="N19" i="3"/>
  <c r="N20" i="3"/>
  <c r="P20" i="3" s="1"/>
  <c r="N22" i="3"/>
  <c r="N23" i="3"/>
  <c r="N24" i="3"/>
  <c r="N25" i="3"/>
  <c r="P25" i="3" s="1"/>
  <c r="N26" i="3"/>
  <c r="N27" i="3"/>
  <c r="P27" i="3" s="1"/>
  <c r="N30" i="3"/>
  <c r="N31" i="3"/>
  <c r="N32" i="3"/>
  <c r="N33" i="3"/>
  <c r="P33" i="3" s="1"/>
  <c r="N34" i="3"/>
  <c r="P34" i="3" s="1"/>
  <c r="N35" i="3"/>
  <c r="N36" i="3"/>
  <c r="P36" i="3" s="1"/>
  <c r="N6" i="3"/>
  <c r="O46" i="3" l="1"/>
  <c r="O39" i="3"/>
  <c r="P6" i="3"/>
  <c r="U27" i="3"/>
  <c r="U36" i="3"/>
  <c r="U12" i="3"/>
  <c r="U25" i="3"/>
  <c r="U20" i="3"/>
  <c r="U11" i="3"/>
  <c r="U9" i="3"/>
  <c r="U33" i="3"/>
  <c r="U13" i="3"/>
  <c r="U7" i="3"/>
  <c r="U28" i="3"/>
  <c r="U10" i="3"/>
  <c r="U34" i="3"/>
  <c r="U17" i="3"/>
  <c r="U8" i="3"/>
  <c r="H2" i="3" l="1"/>
  <c r="T48" i="3" l="1"/>
  <c r="AX48" i="3"/>
  <c r="AN48" i="3"/>
  <c r="AD48" i="3"/>
  <c r="C10" i="1"/>
  <c r="AB25" i="3"/>
  <c r="AV9" i="3"/>
  <c r="AB34" i="3"/>
  <c r="AX20" i="3"/>
  <c r="AD34" i="3"/>
  <c r="AX34" i="3"/>
  <c r="AN11" i="3"/>
  <c r="AB11" i="3"/>
  <c r="AN27" i="3"/>
  <c r="AB20" i="3"/>
  <c r="AL10" i="3"/>
  <c r="AX27" i="3"/>
  <c r="BH9" i="3"/>
  <c r="BH17" i="3"/>
  <c r="AD20" i="3"/>
  <c r="BH20" i="3"/>
  <c r="AX17" i="3"/>
  <c r="AC7" i="3"/>
  <c r="AL17" i="3"/>
  <c r="AL25" i="3"/>
  <c r="AN7" i="3"/>
  <c r="BF10" i="3"/>
  <c r="BH34" i="3"/>
  <c r="BF27" i="3"/>
  <c r="BH36" i="3"/>
  <c r="BH12" i="3"/>
  <c r="BG8" i="3"/>
  <c r="AV8" i="3"/>
  <c r="AW12" i="3"/>
  <c r="AV7" i="3"/>
  <c r="AM10" i="3"/>
  <c r="AL36" i="3"/>
  <c r="AM11" i="3"/>
  <c r="AN13" i="3"/>
  <c r="AM13" i="3"/>
  <c r="AN6" i="3"/>
  <c r="AB12" i="3"/>
  <c r="AB27" i="3"/>
  <c r="AD28" i="3"/>
  <c r="AD10" i="3"/>
  <c r="AC13" i="3"/>
  <c r="AC9" i="3"/>
  <c r="AB6" i="3"/>
  <c r="AN8" i="3"/>
  <c r="BH10" i="3"/>
  <c r="AD7" i="3"/>
  <c r="AL33" i="3"/>
  <c r="AV20" i="3"/>
  <c r="AV25" i="3"/>
  <c r="AD25" i="3"/>
  <c r="AD17" i="3"/>
  <c r="AC11" i="3"/>
  <c r="AN10" i="3"/>
  <c r="AB9" i="3"/>
  <c r="AW7" i="3"/>
  <c r="BF13" i="3"/>
  <c r="AN33" i="3"/>
  <c r="BG6" i="3"/>
  <c r="BF20" i="3"/>
  <c r="AW9" i="3"/>
  <c r="AV17" i="3"/>
  <c r="AL9" i="3"/>
  <c r="AN25" i="3"/>
  <c r="BG10" i="3"/>
  <c r="BF34" i="3"/>
  <c r="BH27" i="3"/>
  <c r="BG13" i="3"/>
  <c r="BF6" i="3"/>
  <c r="AW8" i="3"/>
  <c r="AV28" i="3"/>
  <c r="AV10" i="3"/>
  <c r="AV36" i="3"/>
  <c r="AV6" i="3"/>
  <c r="AL27" i="3"/>
  <c r="AM8" i="3"/>
  <c r="AB33" i="3"/>
  <c r="AX33" i="3"/>
  <c r="AL11" i="3"/>
  <c r="AD11" i="3"/>
  <c r="AV13" i="3"/>
  <c r="AX7" i="3"/>
  <c r="AL34" i="3"/>
  <c r="BF33" i="3"/>
  <c r="AB13" i="3"/>
  <c r="AN20" i="3"/>
  <c r="BF25" i="3"/>
  <c r="BF12" i="3"/>
  <c r="BF8" i="3"/>
  <c r="BH6" i="3"/>
  <c r="AW10" i="3"/>
  <c r="AV12" i="3"/>
  <c r="AX12" i="3"/>
  <c r="AL12" i="3"/>
  <c r="AL8" i="3"/>
  <c r="AD12" i="3"/>
  <c r="AB28" i="3"/>
  <c r="AB8" i="3"/>
  <c r="AD36" i="3"/>
  <c r="AN34" i="3"/>
  <c r="AN36" i="3"/>
  <c r="AV33" i="3"/>
  <c r="AX13" i="3"/>
  <c r="AL28" i="3"/>
  <c r="BF9" i="3"/>
  <c r="BH33" i="3"/>
  <c r="AX9" i="3"/>
  <c r="AN9" i="3"/>
  <c r="AL20" i="3"/>
  <c r="BF7" i="3"/>
  <c r="BG12" i="3"/>
  <c r="AX28" i="3"/>
  <c r="AX10" i="3"/>
  <c r="AM12" i="3"/>
  <c r="AN17" i="3"/>
  <c r="AL6" i="3"/>
  <c r="AC8" i="3"/>
  <c r="AD6" i="3"/>
  <c r="AW6" i="3"/>
  <c r="AX11" i="3"/>
  <c r="AX25" i="3"/>
  <c r="AD13" i="3"/>
  <c r="AD9" i="3"/>
  <c r="AN28" i="3"/>
  <c r="BH13" i="3"/>
  <c r="AD33" i="3"/>
  <c r="BF11" i="3"/>
  <c r="BF28" i="3"/>
  <c r="AL7" i="3"/>
  <c r="BG7" i="3"/>
  <c r="BH7" i="3"/>
  <c r="BG9" i="3"/>
  <c r="AW11" i="3"/>
  <c r="AV27" i="3"/>
  <c r="AX6" i="3"/>
  <c r="AN12" i="3"/>
  <c r="AM9" i="3"/>
  <c r="AD27" i="3"/>
  <c r="AB10" i="3"/>
  <c r="AD8" i="3"/>
  <c r="AB7" i="3"/>
  <c r="BH8" i="3"/>
  <c r="AV11" i="3"/>
  <c r="AV34" i="3"/>
  <c r="AB17" i="3"/>
  <c r="AL13" i="3"/>
  <c r="AC6" i="3"/>
  <c r="BF17" i="3"/>
  <c r="BH11" i="3"/>
  <c r="BH28" i="3"/>
  <c r="AX36" i="3"/>
  <c r="AM7" i="3"/>
  <c r="BH25" i="3"/>
  <c r="BF36" i="3"/>
  <c r="BG11" i="3"/>
  <c r="AX8" i="3"/>
  <c r="AW13" i="3"/>
  <c r="AM6" i="3"/>
  <c r="AC12" i="3"/>
  <c r="AC10" i="3"/>
  <c r="AB36" i="3"/>
  <c r="R6" i="3"/>
  <c r="R36" i="3"/>
  <c r="T12" i="3"/>
  <c r="T11" i="3"/>
  <c r="T9" i="3"/>
  <c r="T33" i="3"/>
  <c r="T7" i="3"/>
  <c r="R8" i="3"/>
  <c r="S6" i="3"/>
  <c r="R27" i="3"/>
  <c r="T25" i="3"/>
  <c r="R20" i="3"/>
  <c r="S13" i="3"/>
  <c r="R10" i="3"/>
  <c r="R34" i="3"/>
  <c r="T17" i="3"/>
  <c r="S8" i="3"/>
  <c r="T6" i="3"/>
  <c r="S12" i="3"/>
  <c r="R25" i="3"/>
  <c r="T20" i="3"/>
  <c r="S11" i="3"/>
  <c r="S9" i="3"/>
  <c r="R13" i="3"/>
  <c r="R7" i="3"/>
  <c r="T28" i="3"/>
  <c r="T10" i="3"/>
  <c r="T34" i="3"/>
  <c r="T8" i="3"/>
  <c r="T27" i="3"/>
  <c r="T36" i="3"/>
  <c r="R12" i="3"/>
  <c r="R11" i="3"/>
  <c r="R9" i="3"/>
  <c r="R33" i="3"/>
  <c r="T13" i="3"/>
  <c r="S7" i="3"/>
  <c r="R28" i="3"/>
  <c r="S10" i="3"/>
  <c r="R17" i="3"/>
  <c r="I5" i="4" l="1"/>
  <c r="R5" i="4" s="1"/>
  <c r="AJ16" i="3" l="1"/>
  <c r="AO16" i="3" s="1"/>
  <c r="AJ26" i="3"/>
  <c r="AJ35" i="3"/>
  <c r="AJ23" i="3"/>
  <c r="AO23" i="3" s="1"/>
  <c r="AJ31" i="3"/>
  <c r="AO31" i="3" s="1"/>
  <c r="AJ19" i="3"/>
  <c r="AJ15" i="3"/>
  <c r="AJ22" i="3"/>
  <c r="AO22" i="3" s="1"/>
  <c r="AJ24" i="3"/>
  <c r="AJ30" i="3"/>
  <c r="AO30" i="3" s="1"/>
  <c r="AJ32" i="3"/>
  <c r="AJ14" i="3"/>
  <c r="Z16" i="3"/>
  <c r="Z26" i="3"/>
  <c r="AE26" i="3" s="1"/>
  <c r="Z23" i="3"/>
  <c r="Z31" i="3"/>
  <c r="Z19" i="3"/>
  <c r="Z15" i="3"/>
  <c r="Z35" i="3"/>
  <c r="Z22" i="3"/>
  <c r="AE22" i="3" s="1"/>
  <c r="Z24" i="3"/>
  <c r="Z30" i="3"/>
  <c r="Z32" i="3"/>
  <c r="Z14" i="3"/>
  <c r="P32" i="3"/>
  <c r="P26" i="3"/>
  <c r="P35" i="3"/>
  <c r="U35" i="3" s="1"/>
  <c r="P15" i="3"/>
  <c r="P22" i="3"/>
  <c r="P24" i="3"/>
  <c r="P30" i="3"/>
  <c r="P14" i="3"/>
  <c r="P16" i="3"/>
  <c r="U16" i="3" s="1"/>
  <c r="P23" i="3"/>
  <c r="U23" i="3" s="1"/>
  <c r="P31" i="3"/>
  <c r="P19" i="3"/>
  <c r="N5" i="4"/>
  <c r="P5" i="4"/>
  <c r="J5" i="4"/>
  <c r="L5" i="4"/>
  <c r="AO19" i="3" l="1"/>
  <c r="AI40" i="3"/>
  <c r="AO15" i="3"/>
  <c r="AI42" i="3"/>
  <c r="AI38" i="3"/>
  <c r="AO24" i="3"/>
  <c r="AI47" i="3"/>
  <c r="Y38" i="3"/>
  <c r="Y47" i="3"/>
  <c r="AE19" i="3"/>
  <c r="Y40" i="3"/>
  <c r="AE15" i="3"/>
  <c r="Y42" i="3"/>
  <c r="U24" i="3"/>
  <c r="O47" i="3"/>
  <c r="U15" i="3"/>
  <c r="O42" i="3"/>
  <c r="U19" i="3"/>
  <c r="O40" i="3"/>
  <c r="O38" i="3"/>
  <c r="AO14" i="3"/>
  <c r="AE14" i="3"/>
  <c r="U14" i="3"/>
  <c r="AL32" i="3"/>
  <c r="AN32" i="3"/>
  <c r="AL35" i="3"/>
  <c r="AN35" i="3"/>
  <c r="AL14" i="3"/>
  <c r="AN14" i="3"/>
  <c r="AM14" i="3"/>
  <c r="AL22" i="3"/>
  <c r="AN22" i="3"/>
  <c r="AO35" i="3"/>
  <c r="AN30" i="3"/>
  <c r="AL30" i="3"/>
  <c r="AL19" i="3"/>
  <c r="AN19" i="3"/>
  <c r="AL23" i="3"/>
  <c r="AN23" i="3"/>
  <c r="AL26" i="3"/>
  <c r="AN26" i="3"/>
  <c r="AN16" i="3"/>
  <c r="AL16" i="3"/>
  <c r="AM16" i="3"/>
  <c r="AM17" i="3"/>
  <c r="AO32" i="3"/>
  <c r="AN24" i="3"/>
  <c r="AL24" i="3"/>
  <c r="AM15" i="3"/>
  <c r="AN15" i="3"/>
  <c r="AL15" i="3"/>
  <c r="AL31" i="3"/>
  <c r="AN31" i="3"/>
  <c r="AO26" i="3"/>
  <c r="AC17" i="3"/>
  <c r="AD24" i="3"/>
  <c r="AB24" i="3"/>
  <c r="AD30" i="3"/>
  <c r="AB30" i="3"/>
  <c r="AB31" i="3"/>
  <c r="AD31" i="3"/>
  <c r="AB16" i="3"/>
  <c r="AD16" i="3"/>
  <c r="AC16" i="3"/>
  <c r="AE30" i="3"/>
  <c r="AB22" i="3"/>
  <c r="AD22" i="3"/>
  <c r="AD15" i="3"/>
  <c r="AB15" i="3"/>
  <c r="AC15" i="3"/>
  <c r="AE31" i="3"/>
  <c r="AE16" i="3"/>
  <c r="AB32" i="3"/>
  <c r="AD32" i="3"/>
  <c r="AB35" i="3"/>
  <c r="AD35" i="3"/>
  <c r="AD23" i="3"/>
  <c r="AB23" i="3"/>
  <c r="AC14" i="3"/>
  <c r="AD14" i="3"/>
  <c r="AB14" i="3"/>
  <c r="AE32" i="3"/>
  <c r="AE24" i="3"/>
  <c r="AE35" i="3"/>
  <c r="AB19" i="3"/>
  <c r="AD19" i="3"/>
  <c r="AE23" i="3"/>
  <c r="AB26" i="3"/>
  <c r="AD26" i="3"/>
  <c r="R32" i="3"/>
  <c r="T32" i="3"/>
  <c r="S17" i="3"/>
  <c r="R19" i="3"/>
  <c r="T19" i="3"/>
  <c r="R23" i="3"/>
  <c r="T23" i="3"/>
  <c r="R14" i="3"/>
  <c r="S14" i="3"/>
  <c r="T14" i="3"/>
  <c r="T24" i="3"/>
  <c r="R24" i="3"/>
  <c r="R35" i="3"/>
  <c r="T35" i="3"/>
  <c r="R31" i="3"/>
  <c r="T31" i="3"/>
  <c r="R30" i="3"/>
  <c r="T30" i="3"/>
  <c r="R22" i="3"/>
  <c r="T22" i="3"/>
  <c r="S15" i="3"/>
  <c r="T15" i="3"/>
  <c r="R15" i="3"/>
  <c r="R26" i="3"/>
  <c r="T26" i="3"/>
  <c r="U31" i="3"/>
  <c r="T16" i="3"/>
  <c r="R16" i="3"/>
  <c r="S16" i="3"/>
  <c r="U30" i="3"/>
  <c r="U22" i="3"/>
  <c r="U26" i="3"/>
  <c r="U32" i="3"/>
  <c r="C32" i="2"/>
  <c r="C31" i="2"/>
  <c r="P32" i="2"/>
  <c r="H32" i="2"/>
  <c r="L33" i="2"/>
  <c r="H33" i="2"/>
  <c r="N31" i="2"/>
  <c r="F31" i="2"/>
  <c r="Q31" i="2"/>
  <c r="M31" i="2"/>
  <c r="I31" i="2"/>
  <c r="D33" i="2"/>
  <c r="O32" i="2"/>
  <c r="K32" i="2"/>
  <c r="G32" i="2"/>
  <c r="E31" i="2"/>
  <c r="Q33" i="2"/>
  <c r="I33" i="2"/>
  <c r="L32" i="2"/>
  <c r="D32" i="2"/>
  <c r="N32" i="2"/>
  <c r="J32" i="2"/>
  <c r="F32" i="2"/>
  <c r="J31" i="2"/>
  <c r="P31" i="2"/>
  <c r="L31" i="2"/>
  <c r="H31" i="2"/>
  <c r="D31" i="2"/>
  <c r="N33" i="2"/>
  <c r="F33" i="2"/>
  <c r="P33" i="2"/>
  <c r="M32" i="2"/>
  <c r="I32" i="2"/>
  <c r="O31" i="2"/>
  <c r="G31" i="2"/>
  <c r="O33" i="2"/>
  <c r="K33" i="2"/>
  <c r="G33" i="2"/>
  <c r="J33" i="2"/>
  <c r="Q32" i="2"/>
  <c r="E32" i="2"/>
  <c r="K31" i="2"/>
  <c r="M33" i="2"/>
  <c r="E33" i="2"/>
  <c r="BB46" i="3" l="1"/>
  <c r="BD46" i="3" s="1"/>
  <c r="BB47" i="3"/>
  <c r="BB42" i="3"/>
  <c r="X48" i="3"/>
  <c r="X41" i="3"/>
  <c r="Z41" i="3" s="1"/>
  <c r="AR48" i="3"/>
  <c r="AR41" i="3"/>
  <c r="AT41" i="3" s="1"/>
  <c r="AJ47" i="3"/>
  <c r="AO47" i="3" s="1"/>
  <c r="BB41" i="3"/>
  <c r="BD41" i="3" s="1"/>
  <c r="BB48" i="3"/>
  <c r="BD48" i="3" s="1"/>
  <c r="N43" i="3"/>
  <c r="N45" i="3"/>
  <c r="N44" i="3"/>
  <c r="X43" i="3"/>
  <c r="X44" i="3"/>
  <c r="X45" i="3"/>
  <c r="AR43" i="3"/>
  <c r="AR44" i="3"/>
  <c r="AR45" i="3"/>
  <c r="AR46" i="3"/>
  <c r="AT46" i="3" s="1"/>
  <c r="AR47" i="3"/>
  <c r="AR42" i="3"/>
  <c r="AH38" i="3"/>
  <c r="AJ38" i="3" s="1"/>
  <c r="AH39" i="3"/>
  <c r="AJ39" i="3" s="1"/>
  <c r="AH40" i="3"/>
  <c r="N39" i="3"/>
  <c r="P39" i="3" s="1"/>
  <c r="N40" i="3"/>
  <c r="N38" i="3"/>
  <c r="P38" i="3"/>
  <c r="U38" i="3" s="1"/>
  <c r="AJ42" i="3"/>
  <c r="AN42" i="3" s="1"/>
  <c r="BB38" i="3"/>
  <c r="BB39" i="3"/>
  <c r="BD39" i="3" s="1"/>
  <c r="BB40" i="3"/>
  <c r="AH46" i="3"/>
  <c r="AJ46" i="3" s="1"/>
  <c r="AH42" i="3"/>
  <c r="AH47" i="3"/>
  <c r="N47" i="3"/>
  <c r="P47" i="3" s="1"/>
  <c r="N42" i="3"/>
  <c r="P42" i="3" s="1"/>
  <c r="R42" i="3" s="1"/>
  <c r="N46" i="3"/>
  <c r="P46" i="3" s="1"/>
  <c r="P40" i="3"/>
  <c r="R40" i="3" s="1"/>
  <c r="AR40" i="3"/>
  <c r="AR38" i="3"/>
  <c r="AR39" i="3"/>
  <c r="AT39" i="3" s="1"/>
  <c r="X38" i="3"/>
  <c r="Z38" i="3" s="1"/>
  <c r="X39" i="3"/>
  <c r="Z39" i="3" s="1"/>
  <c r="X40" i="3"/>
  <c r="Z40" i="3" s="1"/>
  <c r="AJ40" i="3"/>
  <c r="AN40" i="3" s="1"/>
  <c r="AH41" i="3"/>
  <c r="AJ41" i="3" s="1"/>
  <c r="AH48" i="3"/>
  <c r="AH43" i="3"/>
  <c r="AH44" i="3"/>
  <c r="AH45" i="3"/>
  <c r="BB43" i="3"/>
  <c r="BB45" i="3"/>
  <c r="BB44" i="3"/>
  <c r="X46" i="3"/>
  <c r="Z46" i="3" s="1"/>
  <c r="X42" i="3"/>
  <c r="Z42" i="3" s="1"/>
  <c r="X47" i="3"/>
  <c r="Z47" i="3" s="1"/>
  <c r="AN47" i="3"/>
  <c r="AL47" i="3"/>
  <c r="AL40" i="3"/>
  <c r="AO40" i="3"/>
  <c r="BB37" i="3"/>
  <c r="BD37" i="3" s="1"/>
  <c r="AR21" i="3"/>
  <c r="AT21" i="3" s="1"/>
  <c r="AS44" i="3" s="1"/>
  <c r="AT44" i="3" s="1"/>
  <c r="AR29" i="3"/>
  <c r="AT29" i="3" s="1"/>
  <c r="AS45" i="3" s="1"/>
  <c r="AT45" i="3" s="1"/>
  <c r="AR18" i="3"/>
  <c r="AR37" i="3"/>
  <c r="AT37" i="3" s="1"/>
  <c r="BB21" i="3"/>
  <c r="BD21" i="3" s="1"/>
  <c r="BC44" i="3" s="1"/>
  <c r="BD44" i="3" s="1"/>
  <c r="BB18" i="3"/>
  <c r="BB29" i="3"/>
  <c r="BD29" i="3" s="1"/>
  <c r="BC45" i="3" s="1"/>
  <c r="AH37" i="3"/>
  <c r="AJ37" i="3" s="1"/>
  <c r="X18" i="3"/>
  <c r="X29" i="3"/>
  <c r="Z29" i="3" s="1"/>
  <c r="Y45" i="3" s="1"/>
  <c r="X21" i="3"/>
  <c r="Z21" i="3" s="1"/>
  <c r="Y44" i="3" s="1"/>
  <c r="Z44" i="3" s="1"/>
  <c r="X37" i="3"/>
  <c r="Z37" i="3" s="1"/>
  <c r="AH18" i="3"/>
  <c r="AH21" i="3"/>
  <c r="AJ21" i="3" s="1"/>
  <c r="AI44" i="3" s="1"/>
  <c r="AH29" i="3"/>
  <c r="AJ29" i="3" s="1"/>
  <c r="AI45" i="3" s="1"/>
  <c r="N21" i="3"/>
  <c r="P21" i="3" s="1"/>
  <c r="O44" i="3" s="1"/>
  <c r="P44" i="3" s="1"/>
  <c r="N18" i="3"/>
  <c r="N29" i="3"/>
  <c r="P29" i="3" s="1"/>
  <c r="O45" i="3" s="1"/>
  <c r="P45" i="3" s="1"/>
  <c r="AB47" i="3" l="1"/>
  <c r="AE47" i="3"/>
  <c r="Z45" i="3"/>
  <c r="BD45" i="3"/>
  <c r="U40" i="3"/>
  <c r="T40" i="3"/>
  <c r="AE40" i="3"/>
  <c r="AD40" i="3"/>
  <c r="AB40" i="3"/>
  <c r="T47" i="3"/>
  <c r="U47" i="3"/>
  <c r="R47" i="3"/>
  <c r="AN38" i="3"/>
  <c r="AO38" i="3"/>
  <c r="AL38" i="3"/>
  <c r="AD42" i="3"/>
  <c r="AB42" i="3"/>
  <c r="AE42" i="3"/>
  <c r="AD38" i="3"/>
  <c r="AE38" i="3"/>
  <c r="AB38" i="3"/>
  <c r="T42" i="3"/>
  <c r="AD47" i="3"/>
  <c r="AL42" i="3"/>
  <c r="AX39" i="3"/>
  <c r="AY39" i="3"/>
  <c r="AV39" i="3"/>
  <c r="AX41" i="3"/>
  <c r="AV41" i="3"/>
  <c r="AY41" i="3"/>
  <c r="U42" i="3"/>
  <c r="AO42" i="3"/>
  <c r="R38" i="3"/>
  <c r="AD46" i="3"/>
  <c r="AE46" i="3"/>
  <c r="AB46" i="3"/>
  <c r="AN41" i="3"/>
  <c r="AL41" i="3"/>
  <c r="AO41" i="3"/>
  <c r="AN46" i="3"/>
  <c r="AO46" i="3"/>
  <c r="AL46" i="3"/>
  <c r="U39" i="3"/>
  <c r="T39" i="3"/>
  <c r="R39" i="3"/>
  <c r="AX46" i="3"/>
  <c r="AY46" i="3"/>
  <c r="AV46" i="3"/>
  <c r="AB41" i="3"/>
  <c r="AD41" i="3"/>
  <c r="AE41" i="3"/>
  <c r="AJ45" i="3"/>
  <c r="AO45" i="3" s="1"/>
  <c r="AJ44" i="3"/>
  <c r="AL44" i="3" s="1"/>
  <c r="T38" i="3"/>
  <c r="BH39" i="3"/>
  <c r="BF39" i="3"/>
  <c r="BI39" i="3"/>
  <c r="R46" i="3"/>
  <c r="T46" i="3"/>
  <c r="U46" i="3"/>
  <c r="BF48" i="3"/>
  <c r="BH48" i="3"/>
  <c r="BI48" i="3"/>
  <c r="AD39" i="3"/>
  <c r="AB39" i="3"/>
  <c r="AE39" i="3"/>
  <c r="AO39" i="3"/>
  <c r="AL39" i="3"/>
  <c r="AN39" i="3"/>
  <c r="BF41" i="3"/>
  <c r="BH41" i="3"/>
  <c r="BI41" i="3"/>
  <c r="BH46" i="3"/>
  <c r="BI46" i="3"/>
  <c r="BF46" i="3"/>
  <c r="BH45" i="3"/>
  <c r="BI45" i="3"/>
  <c r="BF45" i="3"/>
  <c r="BF44" i="3"/>
  <c r="BH44" i="3"/>
  <c r="BI44" i="3"/>
  <c r="AX45" i="3"/>
  <c r="AY45" i="3"/>
  <c r="AV45" i="3"/>
  <c r="AV44" i="3"/>
  <c r="AX44" i="3"/>
  <c r="AY44" i="3"/>
  <c r="AN45" i="3"/>
  <c r="AB44" i="3"/>
  <c r="AD44" i="3"/>
  <c r="AE44" i="3"/>
  <c r="AB45" i="3"/>
  <c r="AD45" i="3"/>
  <c r="AE45" i="3"/>
  <c r="U44" i="3"/>
  <c r="R44" i="3"/>
  <c r="T44" i="3"/>
  <c r="T45" i="3"/>
  <c r="U45" i="3"/>
  <c r="R45" i="3"/>
  <c r="C27" i="1"/>
  <c r="C26" i="1"/>
  <c r="C25" i="1"/>
  <c r="C28" i="1"/>
  <c r="P18" i="3"/>
  <c r="AJ18" i="3"/>
  <c r="AH49" i="3"/>
  <c r="Z18" i="3"/>
  <c r="X49" i="3"/>
  <c r="AT18" i="3"/>
  <c r="AS43" i="3" s="1"/>
  <c r="AT43" i="3" s="1"/>
  <c r="AR49" i="3"/>
  <c r="BD18" i="3"/>
  <c r="BC43" i="3" s="1"/>
  <c r="BD43" i="3" s="1"/>
  <c r="BB49" i="3"/>
  <c r="BI37" i="3"/>
  <c r="BH37" i="3"/>
  <c r="BF37" i="3"/>
  <c r="AY21" i="3"/>
  <c r="AV21" i="3"/>
  <c r="AX21" i="3"/>
  <c r="AY29" i="3"/>
  <c r="AX29" i="3"/>
  <c r="AV29" i="3"/>
  <c r="AY37" i="3"/>
  <c r="AX37" i="3"/>
  <c r="AV37" i="3"/>
  <c r="BF21" i="3"/>
  <c r="BH21" i="3"/>
  <c r="BI21" i="3"/>
  <c r="BH29" i="3"/>
  <c r="BF29" i="3"/>
  <c r="BI29" i="3"/>
  <c r="AL37" i="3"/>
  <c r="AO37" i="3"/>
  <c r="AN37" i="3"/>
  <c r="AE29" i="3"/>
  <c r="AD29" i="3"/>
  <c r="AB29" i="3"/>
  <c r="AE21" i="3"/>
  <c r="AD21" i="3"/>
  <c r="AB21" i="3"/>
  <c r="AE37" i="3"/>
  <c r="AD37" i="3"/>
  <c r="AB37" i="3"/>
  <c r="AL21" i="3"/>
  <c r="AN21" i="3"/>
  <c r="AO21" i="3"/>
  <c r="T29" i="3"/>
  <c r="U29" i="3"/>
  <c r="R29" i="3"/>
  <c r="U21" i="3"/>
  <c r="R21" i="3"/>
  <c r="T21" i="3"/>
  <c r="AN29" i="3"/>
  <c r="AO29" i="3"/>
  <c r="AL29" i="3"/>
  <c r="AT31" i="3"/>
  <c r="AY31" i="3" s="1"/>
  <c r="AT19" i="3"/>
  <c r="AT16" i="3"/>
  <c r="AY16" i="3" s="1"/>
  <c r="AT14" i="3"/>
  <c r="AT26" i="3"/>
  <c r="AT32" i="3"/>
  <c r="AY32" i="3" s="1"/>
  <c r="AT15" i="3"/>
  <c r="AT30" i="3"/>
  <c r="AT35" i="3"/>
  <c r="AY35" i="3" s="1"/>
  <c r="AT22" i="3"/>
  <c r="AY22" i="3" s="1"/>
  <c r="AT24" i="3"/>
  <c r="AT23" i="3"/>
  <c r="AY23" i="3" s="1"/>
  <c r="AO44" i="3" l="1"/>
  <c r="AN44" i="3"/>
  <c r="AL45" i="3"/>
  <c r="BI43" i="3"/>
  <c r="BF43" i="3"/>
  <c r="BH43" i="3"/>
  <c r="AY43" i="3"/>
  <c r="AV43" i="3"/>
  <c r="AX43" i="3"/>
  <c r="AM41" i="3"/>
  <c r="AM39" i="3"/>
  <c r="AM38" i="3"/>
  <c r="AM40" i="3"/>
  <c r="AM42" i="3"/>
  <c r="AS38" i="3"/>
  <c r="AT38" i="3" s="1"/>
  <c r="AS42" i="3"/>
  <c r="AT42" i="3" s="1"/>
  <c r="AS47" i="3"/>
  <c r="AT47" i="3" s="1"/>
  <c r="AY19" i="3"/>
  <c r="AS40" i="3"/>
  <c r="AT40" i="3" s="1"/>
  <c r="AM28" i="3"/>
  <c r="AI43" i="3"/>
  <c r="AJ43" i="3" s="1"/>
  <c r="AM46" i="3" s="1"/>
  <c r="AC41" i="3"/>
  <c r="AC39" i="3"/>
  <c r="AC38" i="3"/>
  <c r="AC40" i="3"/>
  <c r="AC42" i="3"/>
  <c r="Y43" i="3"/>
  <c r="Z43" i="3" s="1"/>
  <c r="S31" i="3"/>
  <c r="AM21" i="3"/>
  <c r="AC21" i="3"/>
  <c r="T18" i="3"/>
  <c r="O43" i="3"/>
  <c r="P43" i="3" s="1"/>
  <c r="S22" i="3"/>
  <c r="S23" i="3"/>
  <c r="S27" i="3"/>
  <c r="S21" i="3"/>
  <c r="S26" i="3"/>
  <c r="S36" i="3"/>
  <c r="S34" i="3"/>
  <c r="S33" i="3"/>
  <c r="S19" i="3"/>
  <c r="S29" i="3"/>
  <c r="S24" i="3"/>
  <c r="S20" i="3"/>
  <c r="S32" i="3"/>
  <c r="R18" i="3"/>
  <c r="AM18" i="3"/>
  <c r="U18" i="3"/>
  <c r="AO18" i="3"/>
  <c r="AM24" i="3"/>
  <c r="AM36" i="3"/>
  <c r="AM20" i="3"/>
  <c r="AM26" i="3"/>
  <c r="AM25" i="3"/>
  <c r="AM37" i="3"/>
  <c r="AV18" i="3"/>
  <c r="AM32" i="3"/>
  <c r="AM19" i="3"/>
  <c r="AM35" i="3"/>
  <c r="AM30" i="3"/>
  <c r="AM29" i="3"/>
  <c r="AX18" i="3"/>
  <c r="AM27" i="3"/>
  <c r="AM34" i="3"/>
  <c r="AL18" i="3"/>
  <c r="AY18" i="3"/>
  <c r="BF18" i="3"/>
  <c r="AC22" i="3"/>
  <c r="AC23" i="3"/>
  <c r="AC28" i="3"/>
  <c r="AB18" i="3"/>
  <c r="AC18" i="3"/>
  <c r="AC25" i="3"/>
  <c r="AC33" i="3"/>
  <c r="AC27" i="3"/>
  <c r="AE18" i="3"/>
  <c r="BH18" i="3"/>
  <c r="AC26" i="3"/>
  <c r="AC24" i="3"/>
  <c r="AC32" i="3"/>
  <c r="AC29" i="3"/>
  <c r="S28" i="3"/>
  <c r="AC19" i="3"/>
  <c r="AC35" i="3"/>
  <c r="AC20" i="3"/>
  <c r="AD18" i="3"/>
  <c r="AM31" i="3"/>
  <c r="AM23" i="3"/>
  <c r="AM22" i="3"/>
  <c r="AM33" i="3"/>
  <c r="AN18" i="3"/>
  <c r="S35" i="3"/>
  <c r="S18" i="3"/>
  <c r="S30" i="3"/>
  <c r="S25" i="3"/>
  <c r="AC37" i="3"/>
  <c r="AC30" i="3"/>
  <c r="AC36" i="3"/>
  <c r="AC34" i="3"/>
  <c r="AC31" i="3"/>
  <c r="BI18" i="3"/>
  <c r="AX24" i="3"/>
  <c r="AV24" i="3"/>
  <c r="AW24" i="3"/>
  <c r="AW19" i="3"/>
  <c r="AV19" i="3"/>
  <c r="AX19" i="3"/>
  <c r="AV22" i="3"/>
  <c r="AW22" i="3"/>
  <c r="AX22" i="3"/>
  <c r="AW32" i="3"/>
  <c r="AX32" i="3"/>
  <c r="AV32" i="3"/>
  <c r="AW16" i="3"/>
  <c r="AV16" i="3"/>
  <c r="AX16" i="3"/>
  <c r="AW25" i="3"/>
  <c r="AW27" i="3"/>
  <c r="AW20" i="3"/>
  <c r="AW28" i="3"/>
  <c r="AW36" i="3"/>
  <c r="AW17" i="3"/>
  <c r="AW34" i="3"/>
  <c r="AW33" i="3"/>
  <c r="AW37" i="3"/>
  <c r="AW18" i="3"/>
  <c r="AW21" i="3"/>
  <c r="AW29" i="3"/>
  <c r="AX30" i="3"/>
  <c r="AV30" i="3"/>
  <c r="AW30" i="3"/>
  <c r="AX15" i="3"/>
  <c r="AV15" i="3"/>
  <c r="AW15" i="3"/>
  <c r="AV26" i="3"/>
  <c r="AX26" i="3"/>
  <c r="AW26" i="3"/>
  <c r="AW14" i="3"/>
  <c r="AX14" i="3"/>
  <c r="AV14" i="3"/>
  <c r="AW23" i="3"/>
  <c r="AX23" i="3"/>
  <c r="AV23" i="3"/>
  <c r="AY30" i="3"/>
  <c r="AY24" i="3"/>
  <c r="AV35" i="3"/>
  <c r="AX35" i="3"/>
  <c r="AW35" i="3"/>
  <c r="AY15" i="3"/>
  <c r="AY26" i="3"/>
  <c r="AY14" i="3"/>
  <c r="AV31" i="3"/>
  <c r="AW31" i="3"/>
  <c r="AX31" i="3"/>
  <c r="AJ42" i="2"/>
  <c r="AK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W41" i="3" l="1"/>
  <c r="AW45" i="3"/>
  <c r="AW43" i="3"/>
  <c r="AV40" i="3"/>
  <c r="AW40" i="3"/>
  <c r="AX40" i="3"/>
  <c r="AY40" i="3"/>
  <c r="AX38" i="3"/>
  <c r="AV38" i="3"/>
  <c r="AW38" i="3"/>
  <c r="AY38" i="3"/>
  <c r="AW44" i="3"/>
  <c r="AW39" i="3"/>
  <c r="AV47" i="3"/>
  <c r="AW47" i="3"/>
  <c r="AX47" i="3"/>
  <c r="AY47" i="3"/>
  <c r="AX42" i="3"/>
  <c r="AV42" i="3"/>
  <c r="AW42" i="3"/>
  <c r="AY42" i="3"/>
  <c r="AW46" i="3"/>
  <c r="AM47" i="3"/>
  <c r="AM45" i="3"/>
  <c r="AO43" i="3"/>
  <c r="AO49" i="3" s="1"/>
  <c r="AL43" i="3"/>
  <c r="AM43" i="3"/>
  <c r="AN43" i="3"/>
  <c r="AM44" i="3"/>
  <c r="AE43" i="3"/>
  <c r="AB43" i="3"/>
  <c r="AC43" i="3"/>
  <c r="AD43" i="3"/>
  <c r="AC44" i="3"/>
  <c r="AC46" i="3"/>
  <c r="AC45" i="3"/>
  <c r="AC47" i="3"/>
  <c r="AE49" i="3"/>
  <c r="T43" i="3"/>
  <c r="U43" i="3"/>
  <c r="R43" i="3"/>
  <c r="AT49" i="3"/>
  <c r="AU42" i="3" s="1"/>
  <c r="Z49" i="3"/>
  <c r="AJ49" i="3"/>
  <c r="AK43" i="3" s="1"/>
  <c r="AU47" i="3" l="1"/>
  <c r="AU40" i="3"/>
  <c r="AU48" i="3"/>
  <c r="AU46" i="3"/>
  <c r="AU41" i="3"/>
  <c r="AU39" i="3"/>
  <c r="AU44" i="3"/>
  <c r="AU45" i="3"/>
  <c r="AU43" i="3"/>
  <c r="AU38" i="3"/>
  <c r="AY49" i="3"/>
  <c r="AZ47" i="3" s="1"/>
  <c r="AP43" i="3"/>
  <c r="AP48" i="3"/>
  <c r="AP41" i="3"/>
  <c r="AP39" i="3"/>
  <c r="AP46" i="3"/>
  <c r="AP38" i="3"/>
  <c r="AP40" i="3"/>
  <c r="AP42" i="3"/>
  <c r="AP47" i="3"/>
  <c r="AP45" i="3"/>
  <c r="AP44" i="3"/>
  <c r="AK48" i="3"/>
  <c r="AK39" i="3"/>
  <c r="AK41" i="3"/>
  <c r="AK46" i="3"/>
  <c r="AK42" i="3"/>
  <c r="AK47" i="3"/>
  <c r="AK40" i="3"/>
  <c r="AK38" i="3"/>
  <c r="AK44" i="3"/>
  <c r="AK45" i="3"/>
  <c r="AF41" i="3"/>
  <c r="AF48" i="3"/>
  <c r="AF39" i="3"/>
  <c r="AF46" i="3"/>
  <c r="AF42" i="3"/>
  <c r="AF40" i="3"/>
  <c r="AF38" i="3"/>
  <c r="AF47" i="3"/>
  <c r="AF44" i="3"/>
  <c r="AF45" i="3"/>
  <c r="AF43" i="3"/>
  <c r="AA41" i="3"/>
  <c r="AA48" i="3"/>
  <c r="AA46" i="3"/>
  <c r="AA39" i="3"/>
  <c r="AA42" i="3"/>
  <c r="AA47" i="3"/>
  <c r="AA40" i="3"/>
  <c r="AA38" i="3"/>
  <c r="AA44" i="3"/>
  <c r="AA45" i="3"/>
  <c r="AA43" i="3"/>
  <c r="BD31" i="3"/>
  <c r="BD22" i="3"/>
  <c r="BD23" i="3"/>
  <c r="BD16" i="3"/>
  <c r="BI16" i="3" s="1"/>
  <c r="BD19" i="3"/>
  <c r="BD35" i="3"/>
  <c r="BD32" i="3"/>
  <c r="BD30" i="3"/>
  <c r="BI30" i="3" s="1"/>
  <c r="BD24" i="3"/>
  <c r="BD26" i="3"/>
  <c r="BD14" i="3"/>
  <c r="AZ38" i="3" l="1"/>
  <c r="AZ42" i="3"/>
  <c r="AZ40" i="3"/>
  <c r="AZ48" i="3"/>
  <c r="AZ46" i="3"/>
  <c r="AZ41" i="3"/>
  <c r="AZ39" i="3"/>
  <c r="AZ44" i="3"/>
  <c r="AZ45" i="3"/>
  <c r="AZ43" i="3"/>
  <c r="BC47" i="3"/>
  <c r="BD47" i="3" s="1"/>
  <c r="BC38" i="3"/>
  <c r="BD38" i="3" s="1"/>
  <c r="BI19" i="3"/>
  <c r="BC40" i="3"/>
  <c r="BD40" i="3" s="1"/>
  <c r="BI14" i="3"/>
  <c r="BI22" i="3"/>
  <c r="BI35" i="3"/>
  <c r="BF26" i="3"/>
  <c r="BH26" i="3"/>
  <c r="BF32" i="3"/>
  <c r="BH32" i="3"/>
  <c r="BH16" i="3"/>
  <c r="BF16" i="3"/>
  <c r="BF14" i="3"/>
  <c r="BH14" i="3"/>
  <c r="BG14" i="3"/>
  <c r="BH30" i="3"/>
  <c r="BF30" i="3"/>
  <c r="BF31" i="3"/>
  <c r="BH31" i="3"/>
  <c r="BH24" i="3"/>
  <c r="BF24" i="3"/>
  <c r="BF23" i="3"/>
  <c r="BH23" i="3"/>
  <c r="BI26" i="3"/>
  <c r="BF35" i="3"/>
  <c r="BH35" i="3"/>
  <c r="BF22" i="3"/>
  <c r="BH22" i="3"/>
  <c r="BI24" i="3"/>
  <c r="BI32" i="3"/>
  <c r="BF19" i="3"/>
  <c r="BH19" i="3"/>
  <c r="BI23" i="3"/>
  <c r="BI31" i="3"/>
  <c r="C33" i="2"/>
  <c r="N41" i="3" l="1"/>
  <c r="P41" i="3" s="1"/>
  <c r="N48" i="3"/>
  <c r="BH38" i="3"/>
  <c r="BF38" i="3"/>
  <c r="BI38" i="3"/>
  <c r="BF47" i="3"/>
  <c r="BH47" i="3"/>
  <c r="BI47" i="3"/>
  <c r="BF40" i="3"/>
  <c r="BG40" i="3"/>
  <c r="BH40" i="3"/>
  <c r="BI40" i="3"/>
  <c r="BD15" i="3"/>
  <c r="BG38" i="3" s="1"/>
  <c r="N37" i="3"/>
  <c r="U41" i="3" l="1"/>
  <c r="R41" i="3"/>
  <c r="T41" i="3"/>
  <c r="BG41" i="3"/>
  <c r="BG39" i="3"/>
  <c r="BC42" i="3"/>
  <c r="BD42" i="3" s="1"/>
  <c r="BG45" i="3" s="1"/>
  <c r="P37" i="3"/>
  <c r="S41" i="3" s="1"/>
  <c r="N49" i="3"/>
  <c r="BG28" i="3"/>
  <c r="BG17" i="3"/>
  <c r="BG15" i="3"/>
  <c r="BH15" i="3"/>
  <c r="BF15" i="3"/>
  <c r="BG26" i="3"/>
  <c r="BG33" i="3"/>
  <c r="BG31" i="3"/>
  <c r="BG23" i="3"/>
  <c r="BG24" i="3"/>
  <c r="BG35" i="3"/>
  <c r="BG34" i="3"/>
  <c r="BG27" i="3"/>
  <c r="BG30" i="3"/>
  <c r="BG36" i="3"/>
  <c r="BG37" i="3"/>
  <c r="BG20" i="3"/>
  <c r="BG18" i="3"/>
  <c r="BG25" i="3"/>
  <c r="BG21" i="3"/>
  <c r="BG22" i="3"/>
  <c r="BG19" i="3"/>
  <c r="BG32" i="3"/>
  <c r="BG29" i="3"/>
  <c r="BG16" i="3"/>
  <c r="BI15" i="3"/>
  <c r="U6" i="3"/>
  <c r="S38" i="3" l="1"/>
  <c r="S39" i="3"/>
  <c r="S42" i="3"/>
  <c r="S40" i="3"/>
  <c r="S44" i="3"/>
  <c r="S47" i="3"/>
  <c r="S43" i="3"/>
  <c r="S45" i="3"/>
  <c r="S46" i="3"/>
  <c r="BG44" i="3"/>
  <c r="BG46" i="3"/>
  <c r="BG43" i="3"/>
  <c r="BH42" i="3"/>
  <c r="BF42" i="3"/>
  <c r="BG42" i="3"/>
  <c r="BI42" i="3"/>
  <c r="BI49" i="3" s="1"/>
  <c r="BG47" i="3"/>
  <c r="BG48" i="3"/>
  <c r="BD49" i="3"/>
  <c r="BE42" i="3" s="1"/>
  <c r="P49" i="3"/>
  <c r="C24" i="1"/>
  <c r="U37" i="3"/>
  <c r="U49" i="3" s="1"/>
  <c r="R37" i="3"/>
  <c r="S37" i="3"/>
  <c r="T37" i="3"/>
  <c r="AA6" i="3"/>
  <c r="AA11" i="3"/>
  <c r="AA9" i="3"/>
  <c r="AA20" i="3"/>
  <c r="AA37" i="3"/>
  <c r="AA17" i="3"/>
  <c r="AA33" i="3"/>
  <c r="AA36" i="3"/>
  <c r="AA13" i="3"/>
  <c r="AA27" i="3"/>
  <c r="AA10" i="3"/>
  <c r="AA25" i="3"/>
  <c r="AA21" i="3"/>
  <c r="AA28" i="3"/>
  <c r="AA8" i="3"/>
  <c r="AA12" i="3"/>
  <c r="AA34" i="3"/>
  <c r="AA7" i="3"/>
  <c r="AA29" i="3"/>
  <c r="AA18" i="3"/>
  <c r="AA30" i="3"/>
  <c r="AA31" i="3"/>
  <c r="AA23" i="3"/>
  <c r="AA14" i="3"/>
  <c r="AA16" i="3"/>
  <c r="AA15" i="3"/>
  <c r="AA32" i="3"/>
  <c r="AA24" i="3"/>
  <c r="AA35" i="3"/>
  <c r="AA19" i="3"/>
  <c r="AA26" i="3"/>
  <c r="AA22" i="3"/>
  <c r="Z3" i="3"/>
  <c r="C19" i="1" s="1"/>
  <c r="AB49" i="3"/>
  <c r="BJ48" i="3" l="1"/>
  <c r="BJ41" i="3"/>
  <c r="BJ39" i="3"/>
  <c r="BJ46" i="3"/>
  <c r="BJ45" i="3"/>
  <c r="BJ44" i="3"/>
  <c r="BJ43" i="3"/>
  <c r="BJ40" i="3"/>
  <c r="BJ47" i="3"/>
  <c r="BJ38" i="3"/>
  <c r="BE48" i="3"/>
  <c r="BE41" i="3"/>
  <c r="BE46" i="3"/>
  <c r="BE39" i="3"/>
  <c r="BE44" i="3"/>
  <c r="BE45" i="3"/>
  <c r="BE43" i="3"/>
  <c r="BE38" i="3"/>
  <c r="BE47" i="3"/>
  <c r="BE40" i="3"/>
  <c r="BJ42" i="3"/>
  <c r="V48" i="3"/>
  <c r="V41" i="3"/>
  <c r="V38" i="3"/>
  <c r="V40" i="3"/>
  <c r="V42" i="3"/>
  <c r="V47" i="3"/>
  <c r="V39" i="3"/>
  <c r="V46" i="3"/>
  <c r="V44" i="3"/>
  <c r="V45" i="3"/>
  <c r="V43" i="3"/>
  <c r="Q48" i="3"/>
  <c r="Q41" i="3"/>
  <c r="Q47" i="3"/>
  <c r="Q40" i="3"/>
  <c r="Q38" i="3"/>
  <c r="Q42" i="3"/>
  <c r="Q46" i="3"/>
  <c r="Q39" i="3"/>
  <c r="Q44" i="3"/>
  <c r="Q45" i="3"/>
  <c r="Q43" i="3"/>
  <c r="AA49" i="3"/>
  <c r="AK6" i="3"/>
  <c r="AK11" i="3"/>
  <c r="AK20" i="3"/>
  <c r="AK9" i="3"/>
  <c r="AK33" i="3"/>
  <c r="AK37" i="3"/>
  <c r="AK13" i="3"/>
  <c r="AK17" i="3"/>
  <c r="AK28" i="3"/>
  <c r="AK34" i="3"/>
  <c r="AK36" i="3"/>
  <c r="AK8" i="3"/>
  <c r="AK7" i="3"/>
  <c r="AK12" i="3"/>
  <c r="AK10" i="3"/>
  <c r="AK27" i="3"/>
  <c r="AK25" i="3"/>
  <c r="AK21" i="3"/>
  <c r="AK29" i="3"/>
  <c r="AK18" i="3"/>
  <c r="AK19" i="3"/>
  <c r="AK23" i="3"/>
  <c r="AK14" i="3"/>
  <c r="AK30" i="3"/>
  <c r="AK26" i="3"/>
  <c r="AK31" i="3"/>
  <c r="AK32" i="3"/>
  <c r="AK35" i="3"/>
  <c r="AK22" i="3"/>
  <c r="AK16" i="3"/>
  <c r="AK24" i="3"/>
  <c r="AK15" i="3"/>
  <c r="Q11" i="3"/>
  <c r="Q37" i="3"/>
  <c r="Q9" i="3"/>
  <c r="Q33" i="3"/>
  <c r="Q20" i="3"/>
  <c r="Q13" i="3"/>
  <c r="Q17" i="3"/>
  <c r="Q34" i="3"/>
  <c r="Q36" i="3"/>
  <c r="Q28" i="3"/>
  <c r="Q25" i="3"/>
  <c r="Q8" i="3"/>
  <c r="Q7" i="3"/>
  <c r="Q12" i="3"/>
  <c r="Q10" i="3"/>
  <c r="Q27" i="3"/>
  <c r="Q21" i="3"/>
  <c r="Q18" i="3"/>
  <c r="Q29" i="3"/>
  <c r="Q32" i="3"/>
  <c r="Q31" i="3"/>
  <c r="Q30" i="3"/>
  <c r="Q22" i="3"/>
  <c r="Q15" i="3"/>
  <c r="Q14" i="3"/>
  <c r="Q35" i="3"/>
  <c r="Q26" i="3"/>
  <c r="Q16" i="3"/>
  <c r="Q19" i="3"/>
  <c r="Q23" i="3"/>
  <c r="Q24" i="3"/>
  <c r="V11" i="3"/>
  <c r="V37" i="3"/>
  <c r="V36" i="3"/>
  <c r="V20" i="3"/>
  <c r="V33" i="3"/>
  <c r="V9" i="3"/>
  <c r="V13" i="3"/>
  <c r="V27" i="3"/>
  <c r="V17" i="3"/>
  <c r="V34" i="3"/>
  <c r="V7" i="3"/>
  <c r="V10" i="3"/>
  <c r="V25" i="3"/>
  <c r="V28" i="3"/>
  <c r="V8" i="3"/>
  <c r="V12" i="3"/>
  <c r="V14" i="3"/>
  <c r="V18" i="3"/>
  <c r="V29" i="3"/>
  <c r="V16" i="3"/>
  <c r="V24" i="3"/>
  <c r="V15" i="3"/>
  <c r="V21" i="3"/>
  <c r="V19" i="3"/>
  <c r="V35" i="3"/>
  <c r="V23" i="3"/>
  <c r="V31" i="3"/>
  <c r="V22" i="3"/>
  <c r="V26" i="3"/>
  <c r="V32" i="3"/>
  <c r="V30" i="3"/>
  <c r="V6" i="3"/>
  <c r="S3" i="3"/>
  <c r="R49" i="3"/>
  <c r="Q6" i="3"/>
  <c r="P3" i="3"/>
  <c r="C18" i="1" s="1"/>
  <c r="AL49" i="3"/>
  <c r="AJ3" i="3"/>
  <c r="C20" i="1" s="1"/>
  <c r="C12" i="1" l="1"/>
  <c r="C6" i="7"/>
  <c r="K33" i="4"/>
  <c r="K17" i="4"/>
  <c r="K43" i="4"/>
  <c r="K24" i="4"/>
  <c r="K8" i="4"/>
  <c r="K36" i="4"/>
  <c r="K20" i="4"/>
  <c r="K40" i="4"/>
  <c r="K9" i="4"/>
  <c r="K32" i="4"/>
  <c r="K16" i="4"/>
  <c r="K42" i="4"/>
  <c r="K28" i="4"/>
  <c r="K12" i="4"/>
  <c r="K7" i="4"/>
  <c r="K38" i="4"/>
  <c r="K6" i="4"/>
  <c r="K10" i="4"/>
  <c r="K39" i="4"/>
  <c r="K27" i="4"/>
  <c r="K44" i="4"/>
  <c r="K26" i="4"/>
  <c r="K47" i="4"/>
  <c r="K19" i="4"/>
  <c r="K37" i="4"/>
  <c r="K46" i="4"/>
  <c r="K41" i="4"/>
  <c r="K45" i="4"/>
  <c r="K11" i="4"/>
  <c r="K35" i="4"/>
  <c r="K31" i="4"/>
  <c r="K34" i="4"/>
  <c r="K14" i="4"/>
  <c r="K21" i="4"/>
  <c r="K22" i="4"/>
  <c r="K15" i="4"/>
  <c r="K18" i="4"/>
  <c r="K13" i="4"/>
  <c r="K29" i="4"/>
  <c r="K30" i="4"/>
  <c r="K23" i="4"/>
  <c r="K25" i="4"/>
  <c r="AK49" i="3"/>
  <c r="V49" i="3"/>
  <c r="Q49" i="3"/>
  <c r="AU6" i="3"/>
  <c r="AU11" i="3"/>
  <c r="AU9" i="3"/>
  <c r="AU33" i="3"/>
  <c r="AU20" i="3"/>
  <c r="AU37" i="3"/>
  <c r="AU13" i="3"/>
  <c r="AU17" i="3"/>
  <c r="AU12" i="3"/>
  <c r="AU27" i="3"/>
  <c r="AU36" i="3"/>
  <c r="AU28" i="3"/>
  <c r="AU10" i="3"/>
  <c r="AU34" i="3"/>
  <c r="AU25" i="3"/>
  <c r="AU8" i="3"/>
  <c r="AU7" i="3"/>
  <c r="AU18" i="3"/>
  <c r="AU29" i="3"/>
  <c r="AU21" i="3"/>
  <c r="AU26" i="3"/>
  <c r="AU35" i="3"/>
  <c r="AU31" i="3"/>
  <c r="AU23" i="3"/>
  <c r="AU24" i="3"/>
  <c r="AU16" i="3"/>
  <c r="AU15" i="3"/>
  <c r="AU14" i="3"/>
  <c r="AU32" i="3"/>
  <c r="AU30" i="3"/>
  <c r="AU19" i="3"/>
  <c r="AU22" i="3"/>
  <c r="AP6" i="3"/>
  <c r="AP11" i="3"/>
  <c r="AP33" i="3"/>
  <c r="AP20" i="3"/>
  <c r="AP17" i="3"/>
  <c r="AP9" i="3"/>
  <c r="AP13" i="3"/>
  <c r="AP37" i="3"/>
  <c r="AP36" i="3"/>
  <c r="AP27" i="3"/>
  <c r="AP28" i="3"/>
  <c r="AP25" i="3"/>
  <c r="AP34" i="3"/>
  <c r="AP7" i="3"/>
  <c r="AP12" i="3"/>
  <c r="AP8" i="3"/>
  <c r="AP10" i="3"/>
  <c r="AP21" i="3"/>
  <c r="AP18" i="3"/>
  <c r="AP29" i="3"/>
  <c r="AP30" i="3"/>
  <c r="AP16" i="3"/>
  <c r="AP15" i="3"/>
  <c r="AP22" i="3"/>
  <c r="AP23" i="3"/>
  <c r="AP31" i="3"/>
  <c r="AP14" i="3"/>
  <c r="AP19" i="3"/>
  <c r="AP24" i="3"/>
  <c r="AP32" i="3"/>
  <c r="AP26" i="3"/>
  <c r="AP35" i="3"/>
  <c r="AF6" i="3"/>
  <c r="AF20" i="3"/>
  <c r="AF11" i="3"/>
  <c r="AF33" i="3"/>
  <c r="AF37" i="3"/>
  <c r="AF36" i="3"/>
  <c r="AF17" i="3"/>
  <c r="AF8" i="3"/>
  <c r="AF13" i="3"/>
  <c r="AF9" i="3"/>
  <c r="AF10" i="3"/>
  <c r="AF25" i="3"/>
  <c r="AF28" i="3"/>
  <c r="AF27" i="3"/>
  <c r="AF21" i="3"/>
  <c r="AF12" i="3"/>
  <c r="AF7" i="3"/>
  <c r="AF34" i="3"/>
  <c r="AF29" i="3"/>
  <c r="AF18" i="3"/>
  <c r="AF26" i="3"/>
  <c r="AF22" i="3"/>
  <c r="AF19" i="3"/>
  <c r="AF15" i="3"/>
  <c r="AF14" i="3"/>
  <c r="AF23" i="3"/>
  <c r="AF24" i="3"/>
  <c r="AF35" i="3"/>
  <c r="AF31" i="3"/>
  <c r="AF32" i="3"/>
  <c r="AF16" i="3"/>
  <c r="AF30" i="3"/>
  <c r="K5" i="4"/>
  <c r="K48" i="4"/>
  <c r="V3" i="3"/>
  <c r="AM3" i="3"/>
  <c r="C14" i="1" s="1"/>
  <c r="AV49" i="3"/>
  <c r="AC3" i="3"/>
  <c r="C13" i="1" l="1"/>
  <c r="Q38" i="4"/>
  <c r="Q6" i="4"/>
  <c r="S35" i="4"/>
  <c r="S19" i="4"/>
  <c r="M45" i="4"/>
  <c r="O44" i="4"/>
  <c r="S27" i="4"/>
  <c r="S11" i="4"/>
  <c r="M26" i="4"/>
  <c r="M10" i="4"/>
  <c r="Q47" i="4"/>
  <c r="S38" i="4"/>
  <c r="M12" i="4"/>
  <c r="S7" i="4"/>
  <c r="S6" i="4"/>
  <c r="Q26" i="4"/>
  <c r="M9" i="4"/>
  <c r="O20" i="4"/>
  <c r="M33" i="4"/>
  <c r="M42" i="4"/>
  <c r="Q42" i="4"/>
  <c r="Q7" i="4"/>
  <c r="M36" i="4"/>
  <c r="S39" i="4"/>
  <c r="S33" i="4"/>
  <c r="S47" i="4"/>
  <c r="Q33" i="4"/>
  <c r="M47" i="4"/>
  <c r="Q40" i="4"/>
  <c r="O6" i="4"/>
  <c r="M7" i="4"/>
  <c r="M39" i="4"/>
  <c r="O11" i="4"/>
  <c r="Q19" i="4"/>
  <c r="O32" i="4"/>
  <c r="S40" i="4"/>
  <c r="M11" i="4"/>
  <c r="S28" i="4"/>
  <c r="Q16" i="4"/>
  <c r="M24" i="4"/>
  <c r="M8" i="4"/>
  <c r="S26" i="4"/>
  <c r="O12" i="4"/>
  <c r="S24" i="4"/>
  <c r="Q17" i="4"/>
  <c r="M46" i="4"/>
  <c r="O47" i="4"/>
  <c r="M37" i="4"/>
  <c r="Q39" i="4"/>
  <c r="Q9" i="4"/>
  <c r="O35" i="4"/>
  <c r="S8" i="4"/>
  <c r="O41" i="4"/>
  <c r="O46" i="4"/>
  <c r="S17" i="4"/>
  <c r="S41" i="4"/>
  <c r="O42" i="4"/>
  <c r="M16" i="4"/>
  <c r="Q12" i="4"/>
  <c r="S16" i="4"/>
  <c r="O16" i="4"/>
  <c r="O7" i="4"/>
  <c r="Q20" i="4"/>
  <c r="S36" i="4"/>
  <c r="M27" i="4"/>
  <c r="S12" i="4"/>
  <c r="S20" i="4"/>
  <c r="M28" i="4"/>
  <c r="O24" i="4"/>
  <c r="M19" i="4"/>
  <c r="S37" i="4"/>
  <c r="O39" i="4"/>
  <c r="Q44" i="4"/>
  <c r="Q8" i="4"/>
  <c r="O10" i="4"/>
  <c r="S9" i="4"/>
  <c r="O17" i="4"/>
  <c r="M44" i="4"/>
  <c r="S45" i="4"/>
  <c r="Q45" i="4"/>
  <c r="O37" i="4"/>
  <c r="O40" i="4"/>
  <c r="Q24" i="4"/>
  <c r="M20" i="4"/>
  <c r="S32" i="4"/>
  <c r="O27" i="4"/>
  <c r="Q27" i="4"/>
  <c r="Q37" i="4"/>
  <c r="M41" i="4"/>
  <c r="Q41" i="4"/>
  <c r="Q32" i="4"/>
  <c r="M38" i="4"/>
  <c r="S10" i="4"/>
  <c r="Q10" i="4"/>
  <c r="Q36" i="4"/>
  <c r="M6" i="4"/>
  <c r="O8" i="4"/>
  <c r="O28" i="4"/>
  <c r="M35" i="4"/>
  <c r="M40" i="4"/>
  <c r="O45" i="4"/>
  <c r="S42" i="4"/>
  <c r="M32" i="4"/>
  <c r="Q28" i="4"/>
  <c r="Q35" i="4"/>
  <c r="M17" i="4"/>
  <c r="M43" i="4"/>
  <c r="S44" i="4"/>
  <c r="O36" i="4"/>
  <c r="O43" i="4"/>
  <c r="Q46" i="4"/>
  <c r="O38" i="4"/>
  <c r="O26" i="4"/>
  <c r="O9" i="4"/>
  <c r="O19" i="4"/>
  <c r="O33" i="4"/>
  <c r="Q43" i="4"/>
  <c r="S46" i="4"/>
  <c r="Q11" i="4"/>
  <c r="S43" i="4"/>
  <c r="O34" i="4"/>
  <c r="M29" i="4"/>
  <c r="O23" i="4"/>
  <c r="Q13" i="4"/>
  <c r="O18" i="4"/>
  <c r="M23" i="4"/>
  <c r="Q14" i="4"/>
  <c r="O21" i="4"/>
  <c r="M25" i="4"/>
  <c r="S18" i="4"/>
  <c r="Q23" i="4"/>
  <c r="O30" i="4"/>
  <c r="S21" i="4"/>
  <c r="Q25" i="4"/>
  <c r="O31" i="4"/>
  <c r="S14" i="4"/>
  <c r="Q21" i="4"/>
  <c r="O25" i="4"/>
  <c r="M31" i="4"/>
  <c r="S15" i="4"/>
  <c r="Q22" i="4"/>
  <c r="O29" i="4"/>
  <c r="M34" i="4"/>
  <c r="S25" i="4"/>
  <c r="Q31" i="4"/>
  <c r="M14" i="4"/>
  <c r="S29" i="4"/>
  <c r="Q34" i="4"/>
  <c r="M13" i="4"/>
  <c r="S22" i="4"/>
  <c r="Q29" i="4"/>
  <c r="S23" i="4"/>
  <c r="Q30" i="4"/>
  <c r="M21" i="4"/>
  <c r="S34" i="4"/>
  <c r="O15" i="4"/>
  <c r="M22" i="4"/>
  <c r="Q15" i="4"/>
  <c r="M15" i="4"/>
  <c r="S30" i="4"/>
  <c r="O13" i="4"/>
  <c r="M18" i="4"/>
  <c r="S31" i="4"/>
  <c r="O14" i="4"/>
  <c r="O22" i="4"/>
  <c r="S13" i="4"/>
  <c r="Q18" i="4"/>
  <c r="M30" i="4"/>
  <c r="AU49" i="3"/>
  <c r="AP49" i="3"/>
  <c r="AF49" i="3"/>
  <c r="BE6" i="3"/>
  <c r="BE8" i="3"/>
  <c r="BE12" i="3"/>
  <c r="BE9" i="3"/>
  <c r="BE13" i="3"/>
  <c r="BE17" i="3"/>
  <c r="BE27" i="3"/>
  <c r="BE36" i="3"/>
  <c r="BE11" i="3"/>
  <c r="BE20" i="3"/>
  <c r="BE33" i="3"/>
  <c r="BE37" i="3"/>
  <c r="BE7" i="3"/>
  <c r="BE10" i="3"/>
  <c r="BE28" i="3"/>
  <c r="BE25" i="3"/>
  <c r="BE34" i="3"/>
  <c r="BE18" i="3"/>
  <c r="BE29" i="3"/>
  <c r="BE21" i="3"/>
  <c r="BE32" i="3"/>
  <c r="BE30" i="3"/>
  <c r="BE31" i="3"/>
  <c r="BE16" i="3"/>
  <c r="BE35" i="3"/>
  <c r="BE22" i="3"/>
  <c r="BE14" i="3"/>
  <c r="BE19" i="3"/>
  <c r="BE26" i="3"/>
  <c r="BE24" i="3"/>
  <c r="BE23" i="3"/>
  <c r="BE15" i="3"/>
  <c r="AZ6" i="3"/>
  <c r="AZ11" i="3"/>
  <c r="AZ20" i="3"/>
  <c r="AZ37" i="3"/>
  <c r="AZ13" i="3"/>
  <c r="AZ17" i="3"/>
  <c r="AZ27" i="3"/>
  <c r="AZ36" i="3"/>
  <c r="AZ33" i="3"/>
  <c r="AZ9" i="3"/>
  <c r="AZ12" i="3"/>
  <c r="AZ8" i="3"/>
  <c r="AZ10" i="3"/>
  <c r="AZ34" i="3"/>
  <c r="AZ7" i="3"/>
  <c r="AZ25" i="3"/>
  <c r="AZ28" i="3"/>
  <c r="AZ21" i="3"/>
  <c r="AZ29" i="3"/>
  <c r="AZ18" i="3"/>
  <c r="AZ35" i="3"/>
  <c r="AZ16" i="3"/>
  <c r="AZ19" i="3"/>
  <c r="AZ31" i="3"/>
  <c r="AZ23" i="3"/>
  <c r="AZ22" i="3"/>
  <c r="AZ32" i="3"/>
  <c r="AZ15" i="3"/>
  <c r="AZ14" i="3"/>
  <c r="AZ30" i="3"/>
  <c r="AZ24" i="3"/>
  <c r="AZ26" i="3"/>
  <c r="S5" i="4"/>
  <c r="O5" i="4"/>
  <c r="Q5" i="4"/>
  <c r="M5" i="4"/>
  <c r="K49" i="4"/>
  <c r="C4" i="4" s="1"/>
  <c r="D15" i="4" s="1"/>
  <c r="BF49" i="3"/>
  <c r="BD3" i="3"/>
  <c r="C22" i="1" s="1"/>
  <c r="AW3" i="3"/>
  <c r="C15" i="1" s="1"/>
  <c r="AP3" i="3"/>
  <c r="O48" i="4"/>
  <c r="AF3" i="3"/>
  <c r="M48" i="4"/>
  <c r="BE49" i="3" l="1"/>
  <c r="AZ49" i="3"/>
  <c r="C15" i="4"/>
  <c r="C11" i="4"/>
  <c r="D11" i="4"/>
  <c r="C12" i="4"/>
  <c r="D14" i="4"/>
  <c r="D12" i="4"/>
  <c r="D13" i="4"/>
  <c r="C14" i="4"/>
  <c r="C13" i="4"/>
  <c r="C5" i="4"/>
  <c r="G15" i="4" s="1"/>
  <c r="AZ3" i="3"/>
  <c r="O49" i="4"/>
  <c r="M49" i="4"/>
  <c r="W42" i="2"/>
  <c r="F14" i="4" l="1"/>
  <c r="G13" i="4"/>
  <c r="F12" i="4"/>
  <c r="F13" i="4"/>
  <c r="G12" i="4"/>
  <c r="F11" i="4"/>
  <c r="F15" i="4"/>
  <c r="G11" i="4"/>
  <c r="G14" i="4"/>
  <c r="E5" i="4"/>
  <c r="E4" i="4"/>
  <c r="D5" i="4"/>
  <c r="D4" i="4"/>
  <c r="BJ6" i="3" l="1"/>
  <c r="BJ11" i="3"/>
  <c r="BJ20" i="3"/>
  <c r="BJ33" i="3"/>
  <c r="BJ37" i="3"/>
  <c r="BJ36" i="3"/>
  <c r="BJ13" i="3"/>
  <c r="BJ9" i="3"/>
  <c r="BJ17" i="3"/>
  <c r="BJ7" i="3"/>
  <c r="BJ25" i="3"/>
  <c r="BJ27" i="3"/>
  <c r="BJ10" i="3"/>
  <c r="BJ34" i="3"/>
  <c r="BJ8" i="3"/>
  <c r="BJ28" i="3"/>
  <c r="BJ12" i="3"/>
  <c r="BJ21" i="3"/>
  <c r="BJ29" i="3"/>
  <c r="BJ18" i="3"/>
  <c r="BJ35" i="3"/>
  <c r="BJ19" i="3"/>
  <c r="BJ30" i="3"/>
  <c r="BJ22" i="3"/>
  <c r="BJ14" i="3"/>
  <c r="BJ16" i="3"/>
  <c r="BJ24" i="3"/>
  <c r="BJ32" i="3"/>
  <c r="BJ23" i="3"/>
  <c r="BJ31" i="3"/>
  <c r="BJ26" i="3"/>
  <c r="BJ15" i="3"/>
  <c r="BG3" i="3"/>
  <c r="C16" i="1" s="1"/>
  <c r="D24" i="4"/>
  <c r="C25" i="4"/>
  <c r="C27" i="4"/>
  <c r="D26" i="4"/>
  <c r="D27" i="4"/>
  <c r="D25" i="4"/>
  <c r="D23" i="4"/>
  <c r="C24" i="4"/>
  <c r="C26" i="4"/>
  <c r="C23" i="4"/>
  <c r="G26" i="4"/>
  <c r="G23" i="4"/>
  <c r="F26" i="4"/>
  <c r="F25" i="4"/>
  <c r="G27" i="4"/>
  <c r="G24" i="4"/>
  <c r="F27" i="4"/>
  <c r="F23" i="4"/>
  <c r="F24" i="4"/>
  <c r="G25" i="4"/>
  <c r="G21" i="4"/>
  <c r="G17" i="4"/>
  <c r="F18" i="4"/>
  <c r="G19" i="4"/>
  <c r="F19" i="4"/>
  <c r="F17" i="4"/>
  <c r="F21" i="4"/>
  <c r="F20" i="4"/>
  <c r="G20" i="4"/>
  <c r="G18" i="4"/>
  <c r="C18" i="4"/>
  <c r="D19" i="4"/>
  <c r="C20" i="4"/>
  <c r="D20" i="4"/>
  <c r="C19" i="4"/>
  <c r="D21" i="4"/>
  <c r="C17" i="4"/>
  <c r="D18" i="4"/>
  <c r="C21" i="4"/>
  <c r="D17" i="4"/>
  <c r="AT3" i="3"/>
  <c r="BJ49" i="3" l="1"/>
  <c r="Q48" i="4"/>
  <c r="Q49" i="4" s="1"/>
  <c r="F5" i="4" s="1"/>
  <c r="C21" i="1"/>
  <c r="F35" i="4"/>
  <c r="F36" i="4"/>
  <c r="F37" i="4"/>
  <c r="F38" i="4"/>
  <c r="F39" i="4"/>
  <c r="BJ3" i="3"/>
  <c r="S48" i="4"/>
  <c r="F4" i="4" l="1"/>
  <c r="D30" i="4" s="1"/>
  <c r="S49" i="4"/>
  <c r="G32" i="4"/>
  <c r="G33" i="4"/>
  <c r="G31" i="4"/>
  <c r="G30" i="4"/>
  <c r="F33" i="4"/>
  <c r="F31" i="4"/>
  <c r="F29" i="4"/>
  <c r="F32" i="4"/>
  <c r="F30" i="4"/>
  <c r="G29" i="4"/>
  <c r="D32" i="4" l="1"/>
  <c r="C29" i="4"/>
  <c r="C30" i="4"/>
  <c r="C31" i="4"/>
  <c r="D31" i="4"/>
  <c r="C33" i="4"/>
  <c r="D33" i="4"/>
  <c r="C32" i="4"/>
  <c r="D29" i="4"/>
  <c r="G5" i="4"/>
  <c r="G4" i="4"/>
  <c r="C39" i="4" l="1"/>
  <c r="C37" i="4"/>
  <c r="D38" i="4"/>
  <c r="D35" i="4"/>
  <c r="C36" i="4"/>
  <c r="D37" i="4"/>
  <c r="C35" i="4"/>
  <c r="C38" i="4"/>
  <c r="D36" i="4"/>
  <c r="D39" i="4"/>
  <c r="G36" i="4"/>
  <c r="G39" i="4"/>
  <c r="G37" i="4"/>
  <c r="G35" i="4"/>
  <c r="G3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atledtech4</author>
  </authors>
  <commentList>
    <comment ref="B7" authorId="0" shapeId="0" xr:uid="{00000000-0006-0000-0200-000001000000}">
      <text>
        <r>
          <rPr>
            <sz val="8"/>
            <color indexed="81"/>
            <rFont val="Tahoma"/>
            <family val="2"/>
          </rPr>
          <t>Factors can vary on coins bet</t>
        </r>
      </text>
    </comment>
    <comment ref="S7" authorId="0" shapeId="0" xr:uid="{00000000-0006-0000-0200-000002000000}">
      <text>
        <r>
          <rPr>
            <sz val="8"/>
            <color indexed="81"/>
            <rFont val="Tahoma"/>
            <family val="2"/>
          </rPr>
          <t>Factors can vary on coins bet</t>
        </r>
      </text>
    </comment>
    <comment ref="B31" authorId="0" shapeId="0" xr:uid="{00000000-0006-0000-0200-000003000000}">
      <text>
        <r>
          <rPr>
            <sz val="8"/>
            <color indexed="81"/>
            <rFont val="Tahoma"/>
            <family val="2"/>
          </rPr>
          <t>Any Seven [one of SS, RS, BS]</t>
        </r>
      </text>
    </comment>
    <comment ref="B32" authorId="0" shapeId="0" xr:uid="{00000000-0006-0000-0200-000004000000}">
      <text>
        <r>
          <rPr>
            <sz val="8"/>
            <color indexed="81"/>
            <rFont val="Tahoma"/>
            <family val="2"/>
          </rPr>
          <t>Any Bar [one of 3B, 2B, 1B]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atledtech4</author>
  </authors>
  <commentList>
    <comment ref="B1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atledtech4:</t>
        </r>
        <r>
          <rPr>
            <sz val="8"/>
            <color indexed="81"/>
            <rFont val="Tahoma"/>
            <family val="2"/>
          </rPr>
          <t xml:space="preserve">
All wins have equal probability. So average payout is the product of average coin-out per selection and number of selections allowed.</t>
        </r>
      </text>
    </comment>
  </commentList>
</comments>
</file>

<file path=xl/sharedStrings.xml><?xml version="1.0" encoding="utf-8"?>
<sst xmlns="http://schemas.openxmlformats.org/spreadsheetml/2006/main" count="906" uniqueCount="238">
  <si>
    <t>Reels</t>
  </si>
  <si>
    <t>Symbols</t>
  </si>
  <si>
    <t>Coins</t>
  </si>
  <si>
    <t>Name</t>
  </si>
  <si>
    <t>ID</t>
  </si>
  <si>
    <t>Jackpot Dhamaka</t>
  </si>
  <si>
    <t>JD</t>
  </si>
  <si>
    <t>Rupee Symbol</t>
  </si>
  <si>
    <t>Sparkling Seven</t>
  </si>
  <si>
    <t>Red Seven</t>
  </si>
  <si>
    <t>Blue Seven</t>
  </si>
  <si>
    <t>3 Bar</t>
  </si>
  <si>
    <t>2 Bar</t>
  </si>
  <si>
    <t>1 Bar</t>
  </si>
  <si>
    <t>Cherry</t>
  </si>
  <si>
    <t>Bell</t>
  </si>
  <si>
    <t>Wild</t>
  </si>
  <si>
    <t>2X Multiplier</t>
  </si>
  <si>
    <t>Wheel</t>
  </si>
  <si>
    <t>Gold Coin</t>
  </si>
  <si>
    <t>Theme Symbol 1</t>
  </si>
  <si>
    <t>Theme Symbol 2</t>
  </si>
  <si>
    <t>Theme Symbol 3</t>
  </si>
  <si>
    <t>Theme Symbol 4</t>
  </si>
  <si>
    <t>Theme Symbol 5</t>
  </si>
  <si>
    <t>Theme Symbol 6</t>
  </si>
  <si>
    <t>SS</t>
  </si>
  <si>
    <t>RS</t>
  </si>
  <si>
    <t>BS</t>
  </si>
  <si>
    <t>3B</t>
  </si>
  <si>
    <t>2B</t>
  </si>
  <si>
    <t>1B</t>
  </si>
  <si>
    <t>CH</t>
  </si>
  <si>
    <t>BE</t>
  </si>
  <si>
    <t>2X</t>
  </si>
  <si>
    <t>GC</t>
  </si>
  <si>
    <t>T1</t>
  </si>
  <si>
    <t>T2</t>
  </si>
  <si>
    <t>T3</t>
  </si>
  <si>
    <t>T4</t>
  </si>
  <si>
    <t>T5</t>
  </si>
  <si>
    <t>T6</t>
  </si>
  <si>
    <t>A7</t>
  </si>
  <si>
    <t>AB</t>
  </si>
  <si>
    <t xml:space="preserve">  </t>
  </si>
  <si>
    <t>WI</t>
  </si>
  <si>
    <t>WH</t>
  </si>
  <si>
    <t>RU</t>
  </si>
  <si>
    <t>R1</t>
  </si>
  <si>
    <t>R2</t>
  </si>
  <si>
    <t>R3</t>
  </si>
  <si>
    <t>Actual</t>
  </si>
  <si>
    <t>Payout</t>
  </si>
  <si>
    <t>% of Hits</t>
  </si>
  <si>
    <t>SBW</t>
  </si>
  <si>
    <t>SBW/H</t>
  </si>
  <si>
    <t>Hit Frequency</t>
  </si>
  <si>
    <t>Probability</t>
  </si>
  <si>
    <t>Net Pay</t>
  </si>
  <si>
    <t>Variance</t>
  </si>
  <si>
    <t>Paytable Chart</t>
  </si>
  <si>
    <t>x</t>
  </si>
  <si>
    <t>Theme Jackpots</t>
  </si>
  <si>
    <t>Line wins</t>
  </si>
  <si>
    <t>Theme Line Wins</t>
  </si>
  <si>
    <t>Theme Secondary Games</t>
  </si>
  <si>
    <t>Coin 1</t>
  </si>
  <si>
    <t>Coin 2</t>
  </si>
  <si>
    <t>Coin 3</t>
  </si>
  <si>
    <t>Coin 4</t>
  </si>
  <si>
    <t>Coin 5</t>
  </si>
  <si>
    <t>Coin Out</t>
  </si>
  <si>
    <t>Notes</t>
  </si>
  <si>
    <t>Reel Symbols</t>
  </si>
  <si>
    <t>Reel Layout</t>
  </si>
  <si>
    <t>Reel Stops</t>
  </si>
  <si>
    <t>Virtual</t>
  </si>
  <si>
    <t>SecGame</t>
  </si>
  <si>
    <t>90% CI</t>
  </si>
  <si>
    <t>99% CI</t>
  </si>
  <si>
    <t>Lower</t>
  </si>
  <si>
    <t>Upper</t>
  </si>
  <si>
    <t>Confidence Interval</t>
  </si>
  <si>
    <t>Handle Pulls</t>
  </si>
  <si>
    <t>PAR Sheet</t>
  </si>
  <si>
    <t>Description</t>
  </si>
  <si>
    <t>Line Wins [with 2X/Wild]</t>
  </si>
  <si>
    <t>A7 is any seven symbol [one of SS, RS, BS]</t>
  </si>
  <si>
    <t>AB is any bar symbol [one of 3B, 2B, 1B]</t>
  </si>
  <si>
    <t>Volatility Index</t>
  </si>
  <si>
    <t>Symbol</t>
  </si>
  <si>
    <t>Index</t>
  </si>
  <si>
    <t>Symbol Factors</t>
  </si>
  <si>
    <t>Hit and Pay Distribution</t>
  </si>
  <si>
    <t>Total Hits</t>
  </si>
  <si>
    <t>Actual Hits</t>
  </si>
  <si>
    <t>% of Out</t>
  </si>
  <si>
    <t>CYCLE</t>
  </si>
  <si>
    <t>Hold</t>
  </si>
  <si>
    <t>Minus</t>
  </si>
  <si>
    <t>Secondary Games</t>
  </si>
  <si>
    <t>Serial ID</t>
  </si>
  <si>
    <t>Coin 1 Factors</t>
  </si>
  <si>
    <t>Coin 2 Factors</t>
  </si>
  <si>
    <t>Coin 3 Factors</t>
  </si>
  <si>
    <t>Coin 4 Factors</t>
  </si>
  <si>
    <t>Coin 5 Factors</t>
  </si>
  <si>
    <t>2X doubles payout, Wild matches payout</t>
  </si>
  <si>
    <t>Win ID</t>
  </si>
  <si>
    <t>Deviation</t>
  </si>
  <si>
    <t>Game</t>
  </si>
  <si>
    <t>SECG-5001</t>
  </si>
  <si>
    <t>Paytable</t>
  </si>
  <si>
    <t>Coin-out</t>
  </si>
  <si>
    <t>Factor</t>
  </si>
  <si>
    <t>Stats</t>
  </si>
  <si>
    <t>Game cycle</t>
  </si>
  <si>
    <t>SECG-5002</t>
  </si>
  <si>
    <t>SECG-5003</t>
  </si>
  <si>
    <t>5003</t>
  </si>
  <si>
    <t>1001</t>
  </si>
  <si>
    <t>Summary</t>
  </si>
  <si>
    <t>Cycle</t>
  </si>
  <si>
    <t>Average payout per play</t>
  </si>
  <si>
    <t>Empty reels in wins allow for any symbol</t>
  </si>
  <si>
    <t>REEL-2001</t>
  </si>
  <si>
    <t>Wins</t>
  </si>
  <si>
    <t>Wins Payout</t>
  </si>
  <si>
    <t>SECG-5004</t>
  </si>
  <si>
    <t>SECG-5005</t>
  </si>
  <si>
    <t>5004</t>
  </si>
  <si>
    <t>5005</t>
  </si>
  <si>
    <t>5001</t>
  </si>
  <si>
    <t>Number of selections allowed</t>
  </si>
  <si>
    <t>Selections</t>
  </si>
  <si>
    <t>5002</t>
  </si>
  <si>
    <t>Matka</t>
  </si>
  <si>
    <t>MA</t>
  </si>
  <si>
    <t>2001-W10</t>
  </si>
  <si>
    <t>2001-W11</t>
  </si>
  <si>
    <t>2001-W12</t>
  </si>
  <si>
    <t>2001-W13</t>
  </si>
  <si>
    <t>2001-W14</t>
  </si>
  <si>
    <t>2001-W15</t>
  </si>
  <si>
    <t>2001-W16</t>
  </si>
  <si>
    <t>2001-W17</t>
  </si>
  <si>
    <t>2001-W18</t>
  </si>
  <si>
    <t>2001-W19</t>
  </si>
  <si>
    <t>2001-W20</t>
  </si>
  <si>
    <t>2001-W21</t>
  </si>
  <si>
    <t>2001-W22</t>
  </si>
  <si>
    <t>2001-W23</t>
  </si>
  <si>
    <t>2001-W24</t>
  </si>
  <si>
    <t>2001-W25</t>
  </si>
  <si>
    <t>2001-W26</t>
  </si>
  <si>
    <t>2001-W27</t>
  </si>
  <si>
    <t>2001-W28</t>
  </si>
  <si>
    <t>2001-W29</t>
  </si>
  <si>
    <t>2001-W30</t>
  </si>
  <si>
    <t>2001-W31</t>
  </si>
  <si>
    <t>2001-W32</t>
  </si>
  <si>
    <t>2001-W33</t>
  </si>
  <si>
    <t>2001-W34</t>
  </si>
  <si>
    <t>2001-W35</t>
  </si>
  <si>
    <t>2001-W36</t>
  </si>
  <si>
    <t>2001-W37</t>
  </si>
  <si>
    <t>2001-W38</t>
  </si>
  <si>
    <t>2001-W39</t>
  </si>
  <si>
    <t>2001-W01</t>
  </si>
  <si>
    <t>2001-W02</t>
  </si>
  <si>
    <t>2001-W03</t>
  </si>
  <si>
    <t>2001-W04</t>
  </si>
  <si>
    <t>2001-W05</t>
  </si>
  <si>
    <t>2001-W06</t>
  </si>
  <si>
    <t>2001-W07</t>
  </si>
  <si>
    <t>2001-W08</t>
  </si>
  <si>
    <t>2001-W09</t>
  </si>
  <si>
    <t>S1</t>
  </si>
  <si>
    <t>S2</t>
  </si>
  <si>
    <t>S3</t>
  </si>
  <si>
    <t>S4</t>
  </si>
  <si>
    <t>S5</t>
  </si>
  <si>
    <t>S6</t>
  </si>
  <si>
    <t>S7</t>
  </si>
  <si>
    <t>Bonus Game SBW</t>
  </si>
  <si>
    <t>Multiple hits pays all wins</t>
  </si>
  <si>
    <t>Payout ID</t>
  </si>
  <si>
    <t>Avg coin-out per selection</t>
  </si>
  <si>
    <t>5001-W01</t>
  </si>
  <si>
    <t>5001-W02</t>
  </si>
  <si>
    <t>5001-W03</t>
  </si>
  <si>
    <t>5001-W04</t>
  </si>
  <si>
    <t>5001-W05</t>
  </si>
  <si>
    <t>5001-W06</t>
  </si>
  <si>
    <t>5002-W01</t>
  </si>
  <si>
    <t>5002-W02</t>
  </si>
  <si>
    <t>5003-W01</t>
  </si>
  <si>
    <t>5003-W02</t>
  </si>
  <si>
    <t>5003-W03</t>
  </si>
  <si>
    <t>5003-W04</t>
  </si>
  <si>
    <t>5004-W01</t>
  </si>
  <si>
    <t>5004-W02</t>
  </si>
  <si>
    <t>5004-W03</t>
  </si>
  <si>
    <t>5005-W01</t>
  </si>
  <si>
    <t>5005-W02</t>
  </si>
  <si>
    <t>5005-W03</t>
  </si>
  <si>
    <t>5005-W04</t>
  </si>
  <si>
    <t>5005-W05</t>
  </si>
  <si>
    <t>5005-W06</t>
  </si>
  <si>
    <t>5005-W07</t>
  </si>
  <si>
    <t>Wheel Layout</t>
  </si>
  <si>
    <t>2001-W40</t>
  </si>
  <si>
    <t>2001-W41</t>
  </si>
  <si>
    <t>2001-W42</t>
  </si>
  <si>
    <t>2001-W43</t>
  </si>
  <si>
    <t>Number of selections available</t>
  </si>
  <si>
    <t>TYKHE-PAR-1001</t>
  </si>
  <si>
    <t>HIT OR MISS</t>
  </si>
  <si>
    <t>SIX of EIGHTEEN</t>
  </si>
  <si>
    <t>RANDOM</t>
  </si>
  <si>
    <t>ONE of THREE</t>
  </si>
  <si>
    <t>MONEY WHEEL</t>
  </si>
  <si>
    <t>Reel 1</t>
  </si>
  <si>
    <t>cycle</t>
  </si>
  <si>
    <t>Win</t>
  </si>
  <si>
    <t>payout % =</t>
  </si>
  <si>
    <t>hit %</t>
  </si>
  <si>
    <t>Reel 2</t>
  </si>
  <si>
    <t>Reel 3</t>
  </si>
  <si>
    <t>9's</t>
  </si>
  <si>
    <t>x100</t>
  </si>
  <si>
    <t>x20</t>
  </si>
  <si>
    <t>hits</t>
  </si>
  <si>
    <t>2 9s</t>
  </si>
  <si>
    <t>3 9s</t>
  </si>
  <si>
    <t>3 0s</t>
  </si>
  <si>
    <t>1 0s</t>
  </si>
  <si>
    <t>Total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</si>
</sst>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8"/>
      <color indexed="81"/>
      <name val="Tahoma"/>
      <family val="2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indexed="81"/>
      <name val="Tahoma"/>
      <family val="2"/>
    </font>
    <font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1" tint="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7" fillId="5" borderId="0" applyNumberFormat="0" applyBorder="0" applyAlignment="0" applyProtection="0">
      <alignment horizontal="left"/>
    </xf>
    <xf numFmtId="0" fontId="3" fillId="4" borderId="0" applyNumberFormat="0" applyBorder="0" applyAlignment="0" applyProtection="0"/>
    <xf numFmtId="165" fontId="3" fillId="3" borderId="6" applyNumberFormat="0" applyBorder="0" applyAlignment="0" applyProtection="0"/>
    <xf numFmtId="0" fontId="6" fillId="0" borderId="0" applyNumberFormat="0" applyFill="0" applyBorder="0" applyAlignment="0" applyProtection="0"/>
    <xf numFmtId="0" fontId="2" fillId="6" borderId="4" applyNumberFormat="0" applyBorder="0" applyAlignment="0" applyProtection="0"/>
    <xf numFmtId="165" fontId="2" fillId="2" borderId="4" applyNumberFormat="0" applyFont="0" applyBorder="0" applyAlignment="0" applyProtection="0"/>
    <xf numFmtId="0" fontId="9" fillId="7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19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4" borderId="4" xfId="3" applyBorder="1"/>
    <xf numFmtId="0" fontId="3" fillId="4" borderId="0" xfId="3" applyBorder="1"/>
    <xf numFmtId="0" fontId="3" fillId="4" borderId="0" xfId="3" applyBorder="1" applyAlignment="1"/>
    <xf numFmtId="0" fontId="3" fillId="4" borderId="5" xfId="3" applyBorder="1"/>
    <xf numFmtId="0" fontId="3" fillId="4" borderId="4" xfId="3" applyBorder="1" applyAlignment="1"/>
    <xf numFmtId="0" fontId="3" fillId="4" borderId="5" xfId="3" applyBorder="1" applyAlignment="1"/>
    <xf numFmtId="0" fontId="3" fillId="4" borderId="4" xfId="3" applyBorder="1" applyAlignment="1">
      <alignment horizontal="left"/>
    </xf>
    <xf numFmtId="0" fontId="3" fillId="4" borderId="0" xfId="3" applyBorder="1" applyAlignment="1">
      <alignment horizontal="left"/>
    </xf>
    <xf numFmtId="0" fontId="3" fillId="3" borderId="6" xfId="4" applyNumberFormat="1" applyBorder="1"/>
    <xf numFmtId="0" fontId="3" fillId="3" borderId="7" xfId="4" applyNumberFormat="1" applyBorder="1"/>
    <xf numFmtId="0" fontId="3" fillId="3" borderId="8" xfId="4" applyNumberFormat="1" applyBorder="1"/>
    <xf numFmtId="165" fontId="2" fillId="0" borderId="0" xfId="1" applyNumberFormat="1" applyFont="1"/>
    <xf numFmtId="165" fontId="3" fillId="3" borderId="6" xfId="4" applyNumberFormat="1" applyBorder="1" applyAlignment="1"/>
    <xf numFmtId="165" fontId="3" fillId="3" borderId="7" xfId="4" applyNumberFormat="1" applyBorder="1" applyAlignment="1"/>
    <xf numFmtId="165" fontId="3" fillId="3" borderId="6" xfId="4" applyNumberFormat="1" applyBorder="1"/>
    <xf numFmtId="164" fontId="3" fillId="3" borderId="7" xfId="4" applyNumberFormat="1" applyBorder="1"/>
    <xf numFmtId="164" fontId="3" fillId="3" borderId="8" xfId="4" applyNumberFormat="1" applyBorder="1"/>
    <xf numFmtId="0" fontId="3" fillId="4" borderId="5" xfId="3" applyBorder="1" applyAlignment="1">
      <alignment horizontal="left"/>
    </xf>
    <xf numFmtId="165" fontId="3" fillId="3" borderId="7" xfId="4" applyNumberFormat="1" applyBorder="1"/>
    <xf numFmtId="0" fontId="2" fillId="6" borderId="4" xfId="6" applyBorder="1"/>
    <xf numFmtId="0" fontId="2" fillId="6" borderId="0" xfId="6" applyBorder="1"/>
    <xf numFmtId="0" fontId="2" fillId="6" borderId="5" xfId="6" applyBorder="1"/>
    <xf numFmtId="165" fontId="2" fillId="6" borderId="4" xfId="6" applyNumberFormat="1" applyBorder="1"/>
    <xf numFmtId="165" fontId="2" fillId="6" borderId="0" xfId="6" applyNumberFormat="1" applyBorder="1"/>
    <xf numFmtId="164" fontId="2" fillId="6" borderId="0" xfId="6" applyNumberFormat="1" applyBorder="1"/>
    <xf numFmtId="164" fontId="2" fillId="6" borderId="5" xfId="6" applyNumberFormat="1" applyBorder="1"/>
    <xf numFmtId="165" fontId="2" fillId="2" borderId="4" xfId="7" applyNumberFormat="1" applyFont="1" applyBorder="1"/>
    <xf numFmtId="2" fontId="2" fillId="2" borderId="0" xfId="7" applyNumberFormat="1" applyFont="1" applyBorder="1"/>
    <xf numFmtId="0" fontId="2" fillId="2" borderId="0" xfId="7" applyNumberFormat="1" applyFont="1" applyBorder="1"/>
    <xf numFmtId="164" fontId="2" fillId="2" borderId="5" xfId="7" applyNumberFormat="1" applyFont="1" applyBorder="1"/>
    <xf numFmtId="165" fontId="2" fillId="2" borderId="6" xfId="7" applyNumberFormat="1" applyFont="1" applyBorder="1"/>
    <xf numFmtId="2" fontId="2" fillId="2" borderId="7" xfId="7" applyNumberFormat="1" applyFont="1" applyBorder="1"/>
    <xf numFmtId="0" fontId="2" fillId="2" borderId="7" xfId="7" applyNumberFormat="1" applyFont="1" applyBorder="1"/>
    <xf numFmtId="165" fontId="2" fillId="2" borderId="0" xfId="7" applyNumberFormat="1" applyFont="1" applyBorder="1"/>
    <xf numFmtId="164" fontId="2" fillId="2" borderId="0" xfId="7" applyNumberFormat="1" applyFont="1" applyBorder="1"/>
    <xf numFmtId="2" fontId="2" fillId="2" borderId="5" xfId="7" applyNumberFormat="1" applyFont="1" applyBorder="1"/>
    <xf numFmtId="2" fontId="2" fillId="2" borderId="8" xfId="7" applyNumberFormat="1" applyFont="1" applyBorder="1"/>
    <xf numFmtId="0" fontId="2" fillId="2" borderId="6" xfId="7" applyNumberFormat="1" applyFont="1" applyBorder="1"/>
    <xf numFmtId="165" fontId="2" fillId="2" borderId="8" xfId="7" applyNumberFormat="1" applyFont="1" applyBorder="1"/>
    <xf numFmtId="0" fontId="2" fillId="2" borderId="4" xfId="7" applyNumberFormat="1" applyFont="1" applyBorder="1"/>
    <xf numFmtId="10" fontId="2" fillId="2" borderId="5" xfId="7" applyNumberFormat="1" applyFont="1" applyBorder="1"/>
    <xf numFmtId="0" fontId="2" fillId="2" borderId="5" xfId="7" applyNumberFormat="1" applyFont="1" applyBorder="1"/>
    <xf numFmtId="0" fontId="2" fillId="2" borderId="8" xfId="7" applyNumberFormat="1" applyFont="1" applyBorder="1"/>
    <xf numFmtId="165" fontId="6" fillId="2" borderId="4" xfId="7" applyNumberFormat="1" applyFont="1" applyBorder="1" applyAlignment="1"/>
    <xf numFmtId="165" fontId="6" fillId="2" borderId="0" xfId="7" applyNumberFormat="1" applyFont="1" applyBorder="1" applyAlignment="1"/>
    <xf numFmtId="165" fontId="6" fillId="2" borderId="5" xfId="7" applyNumberFormat="1" applyFont="1" applyBorder="1" applyAlignment="1"/>
    <xf numFmtId="165" fontId="5" fillId="2" borderId="4" xfId="7" applyNumberFormat="1" applyFont="1" applyBorder="1" applyAlignment="1"/>
    <xf numFmtId="165" fontId="5" fillId="2" borderId="0" xfId="7" applyNumberFormat="1" applyFont="1" applyBorder="1" applyAlignment="1"/>
    <xf numFmtId="165" fontId="5" fillId="2" borderId="5" xfId="7" applyNumberFormat="1" applyFont="1" applyBorder="1" applyAlignment="1"/>
    <xf numFmtId="165" fontId="6" fillId="2" borderId="6" xfId="7" applyNumberFormat="1" applyFont="1" applyBorder="1" applyAlignment="1"/>
    <xf numFmtId="165" fontId="6" fillId="2" borderId="7" xfId="7" applyNumberFormat="1" applyFont="1" applyBorder="1" applyAlignment="1"/>
    <xf numFmtId="165" fontId="6" fillId="2" borderId="8" xfId="7" applyNumberFormat="1" applyFont="1" applyBorder="1" applyAlignment="1"/>
    <xf numFmtId="165" fontId="2" fillId="2" borderId="4" xfId="7" applyNumberFormat="1" applyFont="1" applyBorder="1" applyAlignment="1"/>
    <xf numFmtId="165" fontId="2" fillId="2" borderId="0" xfId="7" applyNumberFormat="1" applyFont="1" applyBorder="1" applyAlignment="1"/>
    <xf numFmtId="166" fontId="2" fillId="2" borderId="0" xfId="7" applyNumberFormat="1" applyFont="1" applyBorder="1" applyAlignment="1"/>
    <xf numFmtId="166" fontId="2" fillId="2" borderId="5" xfId="7" applyNumberFormat="1" applyFont="1" applyBorder="1" applyAlignment="1"/>
    <xf numFmtId="0" fontId="2" fillId="2" borderId="0" xfId="7" applyNumberFormat="1" applyFont="1" applyBorder="1" applyAlignment="1">
      <alignment horizontal="center"/>
    </xf>
    <xf numFmtId="0" fontId="2" fillId="2" borderId="0" xfId="7" applyNumberFormat="1" applyFont="1" applyBorder="1" applyAlignment="1">
      <alignment horizontal="right"/>
    </xf>
    <xf numFmtId="0" fontId="2" fillId="2" borderId="6" xfId="7" applyNumberFormat="1" applyFont="1" applyBorder="1" applyAlignment="1">
      <alignment horizontal="center"/>
    </xf>
    <xf numFmtId="0" fontId="2" fillId="2" borderId="7" xfId="7" applyNumberFormat="1" applyFont="1" applyBorder="1" applyAlignment="1">
      <alignment horizontal="center"/>
    </xf>
    <xf numFmtId="0" fontId="2" fillId="2" borderId="7" xfId="7" applyNumberFormat="1" applyFont="1" applyBorder="1" applyAlignment="1">
      <alignment horizontal="right"/>
    </xf>
    <xf numFmtId="165" fontId="2" fillId="2" borderId="7" xfId="7" applyNumberFormat="1" applyFont="1" applyBorder="1" applyAlignment="1">
      <alignment horizontal="right"/>
    </xf>
    <xf numFmtId="165" fontId="2" fillId="2" borderId="7" xfId="7" applyNumberFormat="1" applyFont="1" applyBorder="1"/>
    <xf numFmtId="0" fontId="2" fillId="2" borderId="4" xfId="7" applyNumberFormat="1" applyFont="1" applyBorder="1" applyAlignment="1">
      <alignment horizontal="center"/>
    </xf>
    <xf numFmtId="165" fontId="2" fillId="2" borderId="0" xfId="7" applyNumberFormat="1" applyFont="1" applyBorder="1" applyAlignment="1">
      <alignment horizontal="right"/>
    </xf>
    <xf numFmtId="165" fontId="2" fillId="2" borderId="5" xfId="7" applyNumberFormat="1" applyFont="1" applyBorder="1"/>
    <xf numFmtId="165" fontId="2" fillId="2" borderId="0" xfId="7" applyNumberFormat="1" applyFont="1" applyBorder="1" applyAlignment="1">
      <alignment horizontal="center"/>
    </xf>
    <xf numFmtId="9" fontId="2" fillId="2" borderId="4" xfId="7" applyNumberFormat="1" applyFont="1" applyBorder="1" applyAlignment="1">
      <alignment horizontal="center"/>
    </xf>
    <xf numFmtId="9" fontId="2" fillId="2" borderId="6" xfId="7" applyNumberFormat="1" applyFont="1" applyBorder="1" applyAlignment="1">
      <alignment horizontal="center"/>
    </xf>
    <xf numFmtId="0" fontId="3" fillId="3" borderId="9" xfId="4" applyNumberFormat="1" applyBorder="1"/>
    <xf numFmtId="0" fontId="2" fillId="2" borderId="10" xfId="0" applyFont="1" applyFill="1" applyBorder="1"/>
    <xf numFmtId="0" fontId="6" fillId="2" borderId="0" xfId="5" applyFill="1" applyBorder="1"/>
    <xf numFmtId="0" fontId="6" fillId="2" borderId="5" xfId="5" applyFill="1" applyBorder="1"/>
    <xf numFmtId="0" fontId="6" fillId="2" borderId="4" xfId="5" applyFill="1" applyBorder="1"/>
    <xf numFmtId="0" fontId="3" fillId="4" borderId="4" xfId="3" applyBorder="1" applyAlignment="1">
      <alignment horizontal="left" vertical="top"/>
    </xf>
    <xf numFmtId="0" fontId="3" fillId="4" borderId="0" xfId="3" applyBorder="1" applyAlignment="1">
      <alignment horizontal="left" vertical="top"/>
    </xf>
    <xf numFmtId="0" fontId="3" fillId="4" borderId="5" xfId="3" applyBorder="1" applyAlignment="1">
      <alignment horizontal="left" vertical="top"/>
    </xf>
    <xf numFmtId="0" fontId="2" fillId="2" borderId="4" xfId="0" applyFont="1" applyFill="1" applyBorder="1"/>
    <xf numFmtId="0" fontId="2" fillId="2" borderId="6" xfId="0" applyFont="1" applyFill="1" applyBorder="1"/>
    <xf numFmtId="0" fontId="6" fillId="2" borderId="7" xfId="5" applyFill="1" applyBorder="1"/>
    <xf numFmtId="0" fontId="6" fillId="2" borderId="8" xfId="5" applyFill="1" applyBorder="1"/>
    <xf numFmtId="0" fontId="2" fillId="6" borderId="10" xfId="6" applyBorder="1"/>
    <xf numFmtId="166" fontId="3" fillId="3" borderId="7" xfId="4" applyNumberFormat="1" applyBorder="1" applyAlignment="1"/>
    <xf numFmtId="0" fontId="3" fillId="3" borderId="7" xfId="4" applyNumberFormat="1" applyBorder="1" applyAlignment="1"/>
    <xf numFmtId="166" fontId="3" fillId="3" borderId="8" xfId="4" applyNumberFormat="1" applyBorder="1" applyAlignment="1"/>
    <xf numFmtId="10" fontId="2" fillId="2" borderId="0" xfId="7" applyNumberFormat="1" applyFont="1" applyBorder="1"/>
    <xf numFmtId="165" fontId="5" fillId="2" borderId="0" xfId="1" applyNumberFormat="1" applyFont="1" applyFill="1" applyBorder="1" applyAlignment="1"/>
    <xf numFmtId="10" fontId="2" fillId="2" borderId="0" xfId="7" applyNumberFormat="1" applyFont="1" applyBorder="1" applyAlignment="1"/>
    <xf numFmtId="0" fontId="3" fillId="4" borderId="4" xfId="3" applyNumberFormat="1" applyBorder="1" applyAlignment="1">
      <alignment horizontal="left"/>
    </xf>
    <xf numFmtId="0" fontId="3" fillId="4" borderId="6" xfId="3" applyNumberFormat="1" applyBorder="1" applyAlignment="1">
      <alignment horizontal="left" vertical="top"/>
    </xf>
    <xf numFmtId="0" fontId="9" fillId="7" borderId="4" xfId="8" applyBorder="1" applyAlignment="1">
      <alignment horizontal="center"/>
    </xf>
    <xf numFmtId="0" fontId="10" fillId="2" borderId="5" xfId="9" applyNumberFormat="1" applyFill="1" applyBorder="1"/>
    <xf numFmtId="49" fontId="2" fillId="0" borderId="0" xfId="0" applyNumberFormat="1" applyFont="1"/>
    <xf numFmtId="0" fontId="2" fillId="2" borderId="5" xfId="7" applyNumberFormat="1" applyFont="1" applyBorder="1" applyAlignment="1"/>
    <xf numFmtId="49" fontId="2" fillId="2" borderId="8" xfId="7" applyNumberFormat="1" applyFont="1" applyBorder="1" applyAlignment="1"/>
    <xf numFmtId="0" fontId="9" fillId="7" borderId="4" xfId="8" applyBorder="1"/>
    <xf numFmtId="0" fontId="9" fillId="7" borderId="0" xfId="8" applyBorder="1"/>
    <xf numFmtId="0" fontId="9" fillId="7" borderId="5" xfId="8" applyBorder="1"/>
    <xf numFmtId="0" fontId="3" fillId="4" borderId="4" xfId="3" applyNumberFormat="1" applyBorder="1"/>
    <xf numFmtId="0" fontId="3" fillId="4" borderId="6" xfId="3" applyNumberFormat="1" applyBorder="1"/>
    <xf numFmtId="10" fontId="3" fillId="3" borderId="7" xfId="4" applyNumberFormat="1" applyBorder="1"/>
    <xf numFmtId="165" fontId="3" fillId="3" borderId="8" xfId="4" applyNumberFormat="1" applyBorder="1"/>
    <xf numFmtId="165" fontId="6" fillId="2" borderId="0" xfId="5" applyNumberFormat="1" applyFill="1" applyBorder="1"/>
    <xf numFmtId="0" fontId="6" fillId="2" borderId="0" xfId="5" applyNumberFormat="1" applyFill="1" applyBorder="1"/>
    <xf numFmtId="165" fontId="2" fillId="2" borderId="5" xfId="1" applyNumberFormat="1" applyFont="1" applyFill="1" applyBorder="1" applyAlignment="1">
      <alignment horizontal="right"/>
    </xf>
    <xf numFmtId="10" fontId="2" fillId="2" borderId="5" xfId="7" applyNumberFormat="1" applyFont="1" applyBorder="1" applyAlignment="1">
      <alignment horizontal="right"/>
    </xf>
    <xf numFmtId="10" fontId="2" fillId="2" borderId="8" xfId="7" applyNumberFormat="1" applyFont="1" applyBorder="1" applyAlignment="1">
      <alignment horizontal="right"/>
    </xf>
    <xf numFmtId="49" fontId="2" fillId="2" borderId="8" xfId="7" applyNumberFormat="1" applyFont="1" applyBorder="1" applyAlignment="1">
      <alignment horizontal="left"/>
    </xf>
    <xf numFmtId="165" fontId="5" fillId="2" borderId="0" xfId="7" applyNumberFormat="1" applyFont="1" applyBorder="1" applyAlignment="1">
      <alignment horizontal="right"/>
    </xf>
    <xf numFmtId="165" fontId="5" fillId="2" borderId="0" xfId="7" applyNumberFormat="1" applyFont="1" applyBorder="1"/>
    <xf numFmtId="165" fontId="5" fillId="2" borderId="5" xfId="7" applyNumberFormat="1" applyFont="1" applyBorder="1"/>
    <xf numFmtId="165" fontId="5" fillId="2" borderId="7" xfId="7" applyNumberFormat="1" applyFont="1" applyBorder="1" applyAlignment="1">
      <alignment horizontal="right"/>
    </xf>
    <xf numFmtId="165" fontId="5" fillId="2" borderId="7" xfId="7" applyNumberFormat="1" applyFont="1" applyBorder="1"/>
    <xf numFmtId="165" fontId="5" fillId="2" borderId="8" xfId="7" applyNumberFormat="1" applyFont="1" applyBorder="1"/>
    <xf numFmtId="10" fontId="2" fillId="0" borderId="0" xfId="0" applyNumberFormat="1" applyFont="1"/>
    <xf numFmtId="0" fontId="6" fillId="2" borderId="5" xfId="7" applyNumberFormat="1" applyFont="1" applyBorder="1"/>
    <xf numFmtId="0" fontId="10" fillId="2" borderId="5" xfId="7" applyNumberFormat="1" applyFont="1" applyBorder="1"/>
    <xf numFmtId="165" fontId="6" fillId="2" borderId="5" xfId="5" applyNumberFormat="1" applyFill="1" applyBorder="1"/>
    <xf numFmtId="165" fontId="2" fillId="0" borderId="0" xfId="0" applyNumberFormat="1" applyFont="1"/>
    <xf numFmtId="164" fontId="2" fillId="0" borderId="0" xfId="0" applyNumberFormat="1" applyFont="1"/>
    <xf numFmtId="2" fontId="3" fillId="3" borderId="7" xfId="4" applyNumberFormat="1" applyBorder="1"/>
    <xf numFmtId="2" fontId="3" fillId="3" borderId="8" xfId="4" applyNumberFormat="1" applyBorder="1"/>
    <xf numFmtId="165" fontId="2" fillId="2" borderId="8" xfId="7" applyNumberFormat="1" applyFont="1" applyBorder="1" applyAlignment="1">
      <alignment horizontal="right"/>
    </xf>
    <xf numFmtId="0" fontId="3" fillId="4" borderId="0" xfId="3" applyNumberFormat="1" applyBorder="1"/>
    <xf numFmtId="0" fontId="3" fillId="4" borderId="7" xfId="3" applyNumberFormat="1" applyBorder="1"/>
    <xf numFmtId="2" fontId="2" fillId="2" borderId="5" xfId="7" applyNumberFormat="1" applyFont="1" applyBorder="1" applyAlignment="1">
      <alignment horizontal="right"/>
    </xf>
    <xf numFmtId="2" fontId="2" fillId="2" borderId="8" xfId="7" applyNumberFormat="1" applyFont="1" applyBorder="1" applyAlignment="1">
      <alignment horizontal="right"/>
    </xf>
    <xf numFmtId="165" fontId="2" fillId="2" borderId="5" xfId="7" applyNumberFormat="1" applyBorder="1"/>
    <xf numFmtId="165" fontId="2" fillId="2" borderId="8" xfId="7" applyNumberFormat="1" applyBorder="1"/>
    <xf numFmtId="0" fontId="9" fillId="7" borderId="0" xfId="8" applyBorder="1" applyAlignment="1">
      <alignment horizontal="center"/>
    </xf>
    <xf numFmtId="0" fontId="9" fillId="7" borderId="5" xfId="8" applyBorder="1" applyAlignment="1">
      <alignment horizontal="center"/>
    </xf>
    <xf numFmtId="0" fontId="12" fillId="0" borderId="0" xfId="0" applyFont="1"/>
    <xf numFmtId="0" fontId="7" fillId="5" borderId="1" xfId="2" applyBorder="1" applyAlignment="1">
      <alignment horizontal="center"/>
    </xf>
    <xf numFmtId="0" fontId="7" fillId="5" borderId="2" xfId="2" applyBorder="1" applyAlignment="1">
      <alignment horizontal="center"/>
    </xf>
    <xf numFmtId="0" fontId="7" fillId="5" borderId="3" xfId="2" applyBorder="1" applyAlignment="1">
      <alignment horizontal="center"/>
    </xf>
    <xf numFmtId="0" fontId="2" fillId="2" borderId="0" xfId="7" applyNumberFormat="1" applyFont="1" applyBorder="1" applyAlignment="1">
      <alignment horizontal="left"/>
    </xf>
    <xf numFmtId="0" fontId="2" fillId="2" borderId="5" xfId="7" applyNumberFormat="1" applyFont="1" applyBorder="1" applyAlignment="1">
      <alignment horizontal="left"/>
    </xf>
    <xf numFmtId="49" fontId="2" fillId="2" borderId="0" xfId="7" applyNumberFormat="1" applyFont="1" applyBorder="1" applyAlignment="1">
      <alignment horizontal="left"/>
    </xf>
    <xf numFmtId="49" fontId="2" fillId="2" borderId="5" xfId="7" applyNumberFormat="1" applyFont="1" applyBorder="1" applyAlignment="1">
      <alignment horizontal="left"/>
    </xf>
    <xf numFmtId="0" fontId="2" fillId="2" borderId="7" xfId="7" applyNumberFormat="1" applyFont="1" applyBorder="1" applyAlignment="1">
      <alignment horizontal="left" vertical="top" wrapText="1"/>
    </xf>
    <xf numFmtId="0" fontId="2" fillId="2" borderId="8" xfId="7" applyNumberFormat="1" applyFont="1" applyBorder="1" applyAlignment="1">
      <alignment horizontal="left" vertical="top" wrapText="1"/>
    </xf>
    <xf numFmtId="0" fontId="4" fillId="2" borderId="6" xfId="7" applyNumberFormat="1" applyFont="1" applyBorder="1" applyAlignment="1">
      <alignment horizontal="center"/>
    </xf>
    <xf numFmtId="0" fontId="4" fillId="2" borderId="7" xfId="7" applyNumberFormat="1" applyFont="1" applyBorder="1" applyAlignment="1">
      <alignment horizontal="center"/>
    </xf>
    <xf numFmtId="0" fontId="4" fillId="2" borderId="8" xfId="7" applyNumberFormat="1" applyFont="1" applyBorder="1" applyAlignment="1">
      <alignment horizontal="center"/>
    </xf>
    <xf numFmtId="0" fontId="3" fillId="4" borderId="1" xfId="3" applyNumberFormat="1" applyBorder="1" applyAlignment="1">
      <alignment horizontal="center"/>
    </xf>
    <xf numFmtId="0" fontId="3" fillId="4" borderId="2" xfId="3" applyNumberFormat="1" applyBorder="1" applyAlignment="1">
      <alignment horizontal="center"/>
    </xf>
    <xf numFmtId="0" fontId="3" fillId="4" borderId="3" xfId="3" applyNumberFormat="1" applyBorder="1" applyAlignment="1">
      <alignment horizontal="center"/>
    </xf>
    <xf numFmtId="0" fontId="9" fillId="7" borderId="4" xfId="8" applyNumberFormat="1" applyBorder="1" applyAlignment="1">
      <alignment horizontal="center"/>
    </xf>
    <xf numFmtId="0" fontId="9" fillId="7" borderId="5" xfId="8" applyNumberFormat="1" applyBorder="1" applyAlignment="1">
      <alignment horizontal="center"/>
    </xf>
    <xf numFmtId="0" fontId="4" fillId="2" borderId="4" xfId="7" applyNumberFormat="1" applyFont="1" applyBorder="1" applyAlignment="1">
      <alignment horizontal="center"/>
    </xf>
    <xf numFmtId="0" fontId="4" fillId="2" borderId="0" xfId="7" applyNumberFormat="1" applyFont="1" applyBorder="1" applyAlignment="1">
      <alignment horizontal="center"/>
    </xf>
    <xf numFmtId="0" fontId="4" fillId="2" borderId="5" xfId="7" applyNumberFormat="1" applyFont="1" applyBorder="1" applyAlignment="1">
      <alignment horizontal="center"/>
    </xf>
    <xf numFmtId="0" fontId="9" fillId="7" borderId="1" xfId="8" applyNumberFormat="1" applyBorder="1" applyAlignment="1">
      <alignment horizontal="center"/>
    </xf>
    <xf numFmtId="0" fontId="9" fillId="7" borderId="3" xfId="8" applyNumberFormat="1" applyBorder="1" applyAlignment="1">
      <alignment horizontal="center"/>
    </xf>
    <xf numFmtId="0" fontId="3" fillId="4" borderId="4" xfId="3" applyBorder="1" applyAlignment="1">
      <alignment horizontal="center"/>
    </xf>
    <xf numFmtId="0" fontId="3" fillId="4" borderId="0" xfId="3" applyBorder="1" applyAlignment="1">
      <alignment horizontal="center"/>
    </xf>
    <xf numFmtId="0" fontId="3" fillId="4" borderId="5" xfId="3" applyBorder="1" applyAlignment="1">
      <alignment horizontal="center"/>
    </xf>
    <xf numFmtId="0" fontId="3" fillId="4" borderId="10" xfId="3" applyBorder="1" applyAlignment="1">
      <alignment horizontal="center" vertical="top"/>
    </xf>
    <xf numFmtId="0" fontId="3" fillId="4" borderId="4" xfId="3" applyBorder="1" applyAlignment="1">
      <alignment horizontal="center" vertical="top"/>
    </xf>
    <xf numFmtId="0" fontId="3" fillId="4" borderId="0" xfId="3" applyBorder="1" applyAlignment="1">
      <alignment horizontal="center" vertical="top"/>
    </xf>
    <xf numFmtId="0" fontId="3" fillId="4" borderId="5" xfId="3" applyBorder="1" applyAlignment="1">
      <alignment horizontal="center" vertical="top"/>
    </xf>
    <xf numFmtId="0" fontId="7" fillId="5" borderId="11" xfId="2" applyBorder="1" applyAlignment="1">
      <alignment horizontal="center"/>
    </xf>
    <xf numFmtId="0" fontId="7" fillId="5" borderId="12" xfId="2" applyBorder="1" applyAlignment="1">
      <alignment horizontal="center"/>
    </xf>
    <xf numFmtId="0" fontId="7" fillId="5" borderId="13" xfId="2" applyBorder="1" applyAlignment="1">
      <alignment horizontal="center"/>
    </xf>
    <xf numFmtId="0" fontId="3" fillId="4" borderId="4" xfId="3" applyNumberFormat="1" applyBorder="1" applyAlignment="1">
      <alignment horizontal="center"/>
    </xf>
    <xf numFmtId="0" fontId="3" fillId="4" borderId="0" xfId="3" applyNumberFormat="1" applyBorder="1" applyAlignment="1">
      <alignment horizontal="center"/>
    </xf>
    <xf numFmtId="0" fontId="9" fillId="7" borderId="4" xfId="8" applyBorder="1" applyAlignment="1">
      <alignment horizontal="center"/>
    </xf>
    <xf numFmtId="0" fontId="9" fillId="7" borderId="0" xfId="8" applyBorder="1" applyAlignment="1">
      <alignment horizontal="center"/>
    </xf>
    <xf numFmtId="0" fontId="9" fillId="7" borderId="5" xfId="8" applyBorder="1" applyAlignment="1">
      <alignment horizontal="center"/>
    </xf>
    <xf numFmtId="165" fontId="3" fillId="0" borderId="11" xfId="1" applyNumberFormat="1" applyFont="1" applyBorder="1" applyAlignment="1">
      <alignment horizontal="center"/>
    </xf>
    <xf numFmtId="165" fontId="3" fillId="0" borderId="12" xfId="1" applyNumberFormat="1" applyFont="1" applyBorder="1" applyAlignment="1">
      <alignment horizontal="center"/>
    </xf>
    <xf numFmtId="165" fontId="3" fillId="0" borderId="13" xfId="1" applyNumberFormat="1" applyFont="1" applyBorder="1" applyAlignment="1">
      <alignment horizontal="center"/>
    </xf>
    <xf numFmtId="0" fontId="9" fillId="7" borderId="0" xfId="8" applyNumberFormat="1" applyBorder="1" applyAlignment="1">
      <alignment horizontal="center"/>
    </xf>
    <xf numFmtId="0" fontId="3" fillId="3" borderId="6" xfId="4" applyNumberFormat="1" applyBorder="1" applyAlignment="1">
      <alignment horizontal="center"/>
    </xf>
    <xf numFmtId="0" fontId="3" fillId="3" borderId="7" xfId="4" applyNumberFormat="1" applyBorder="1" applyAlignment="1">
      <alignment horizontal="center"/>
    </xf>
    <xf numFmtId="0" fontId="3" fillId="4" borderId="4" xfId="3" applyBorder="1" applyAlignment="1">
      <alignment horizontal="left"/>
    </xf>
    <xf numFmtId="0" fontId="3" fillId="4" borderId="0" xfId="3" applyBorder="1" applyAlignment="1">
      <alignment horizontal="left"/>
    </xf>
    <xf numFmtId="165" fontId="2" fillId="2" borderId="0" xfId="7" applyNumberFormat="1" applyFont="1" applyBorder="1" applyAlignment="1">
      <alignment horizontal="right"/>
    </xf>
    <xf numFmtId="165" fontId="2" fillId="2" borderId="5" xfId="7" applyNumberFormat="1" applyFont="1" applyBorder="1" applyAlignment="1">
      <alignment horizontal="right"/>
    </xf>
    <xf numFmtId="0" fontId="3" fillId="4" borderId="6" xfId="3" applyBorder="1" applyAlignment="1">
      <alignment horizontal="left"/>
    </xf>
    <xf numFmtId="0" fontId="3" fillId="4" borderId="7" xfId="3" applyBorder="1" applyAlignment="1">
      <alignment horizontal="left"/>
    </xf>
    <xf numFmtId="0" fontId="7" fillId="5" borderId="4" xfId="2" applyBorder="1" applyAlignment="1">
      <alignment horizontal="center"/>
    </xf>
    <xf numFmtId="0" fontId="7" fillId="5" borderId="0" xfId="2" applyBorder="1" applyAlignment="1">
      <alignment horizontal="center"/>
    </xf>
    <xf numFmtId="0" fontId="7" fillId="5" borderId="5" xfId="2" applyBorder="1" applyAlignment="1">
      <alignment horizontal="center"/>
    </xf>
    <xf numFmtId="165" fontId="2" fillId="2" borderId="0" xfId="7" applyNumberFormat="1" applyFont="1" applyBorder="1" applyAlignment="1">
      <alignment horizontal="center"/>
    </xf>
    <xf numFmtId="165" fontId="2" fillId="2" borderId="5" xfId="7" applyNumberFormat="1" applyFont="1" applyBorder="1" applyAlignment="1">
      <alignment horizontal="center"/>
    </xf>
  </cellXfs>
  <cellStyles count="10">
    <cellStyle name="Comma" xfId="1" builtinId="3"/>
    <cellStyle name="Hyperlink" xfId="9" builtinId="8"/>
    <cellStyle name="Normal" xfId="0" builtinId="0"/>
    <cellStyle name="TableBody" xfId="7" xr:uid="{00000000-0005-0000-0000-000003000000}"/>
    <cellStyle name="TableHeading" xfId="3" xr:uid="{00000000-0005-0000-0000-000004000000}"/>
    <cellStyle name="TableHeadingGroup" xfId="8" xr:uid="{00000000-0005-0000-0000-000005000000}"/>
    <cellStyle name="TableName" xfId="2" xr:uid="{00000000-0005-0000-0000-000006000000}"/>
    <cellStyle name="TableSpecialRow" xfId="6" xr:uid="{00000000-0005-0000-0000-000007000000}"/>
    <cellStyle name="TableTotals" xfId="4" xr:uid="{00000000-0005-0000-0000-000008000000}"/>
    <cellStyle name="UserInput" xfId="5" xr:uid="{00000000-0005-0000-0000-000009000000}"/>
  </cellStyles>
  <dxfs count="2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6"/>
  <sheetViews>
    <sheetView workbookViewId="0">
      <selection activeCell="D10" sqref="D10"/>
    </sheetView>
  </sheetViews>
  <sheetFormatPr defaultColWidth="6.7109375" defaultRowHeight="12.75" x14ac:dyDescent="0.2"/>
  <cols>
    <col min="1" max="1" width="4.7109375" style="1" customWidth="1"/>
    <col min="2" max="2" width="10.42578125" style="1" bestFit="1" customWidth="1"/>
    <col min="3" max="3" width="6.28515625" style="1" bestFit="1" customWidth="1"/>
    <col min="4" max="16384" width="6.7109375" style="1"/>
  </cols>
  <sheetData>
    <row r="2" spans="2:15" x14ac:dyDescent="0.2">
      <c r="B2" s="137" t="s">
        <v>84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9"/>
    </row>
    <row r="3" spans="2:15" x14ac:dyDescent="0.2">
      <c r="B3" s="93" t="s">
        <v>4</v>
      </c>
      <c r="C3" s="140" t="s">
        <v>216</v>
      </c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1"/>
    </row>
    <row r="4" spans="2:15" x14ac:dyDescent="0.2">
      <c r="B4" s="93" t="s">
        <v>101</v>
      </c>
      <c r="C4" s="142" t="s">
        <v>120</v>
      </c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3"/>
    </row>
    <row r="5" spans="2:15" x14ac:dyDescent="0.2">
      <c r="B5" s="93" t="s">
        <v>3</v>
      </c>
      <c r="C5" s="140" t="s">
        <v>216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1"/>
    </row>
    <row r="6" spans="2:15" ht="25.5" customHeight="1" x14ac:dyDescent="0.2">
      <c r="B6" s="94" t="s">
        <v>85</v>
      </c>
      <c r="C6" s="144" t="str">
        <f>"PAR Sheet for 1-Payline 3-Reel 5-Coin 21-Symbol game with a base payout of "&amp;TEXT(COIN1_POUT,"##%"&amp;".")</f>
        <v>PAR Sheet for 1-Payline 3-Reel 5-Coin 21-Symbol game with a base payout of 88%.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5"/>
    </row>
  </sheetData>
  <mergeCells count="5">
    <mergeCell ref="B2:O2"/>
    <mergeCell ref="C3:O3"/>
    <mergeCell ref="C4:O4"/>
    <mergeCell ref="C5:O5"/>
    <mergeCell ref="C6:O6"/>
  </mergeCells>
  <pageMargins left="0.7" right="0.7" top="0.75" bottom="0.75" header="0.3" footer="0.3"/>
  <pageSetup orientation="portrait" r:id="rId1"/>
  <ignoredErrors>
    <ignoredError sqref="C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B30"/>
  <sheetViews>
    <sheetView zoomScale="154" zoomScaleNormal="154" workbookViewId="0">
      <selection activeCell="B7" sqref="B7"/>
    </sheetView>
  </sheetViews>
  <sheetFormatPr defaultColWidth="4.7109375" defaultRowHeight="12.75" x14ac:dyDescent="0.2"/>
  <cols>
    <col min="1" max="1" width="4.7109375" style="1"/>
    <col min="2" max="2" width="7.42578125" style="1" bestFit="1" customWidth="1"/>
    <col min="3" max="3" width="10" style="1" bestFit="1" customWidth="1"/>
    <col min="4" max="4" width="5.7109375" style="1" bestFit="1" customWidth="1"/>
    <col min="5" max="5" width="4.7109375" style="1"/>
    <col min="6" max="8" width="4.7109375" style="4"/>
    <col min="9" max="9" width="4.7109375" style="3"/>
    <col min="10" max="12" width="7.5703125" style="3" bestFit="1" customWidth="1"/>
    <col min="13" max="13" width="7.5703125" style="1" bestFit="1" customWidth="1"/>
    <col min="14" max="14" width="8.7109375" style="1" bestFit="1" customWidth="1"/>
    <col min="15" max="15" width="4.7109375" style="1"/>
    <col min="16" max="18" width="4.7109375" style="4"/>
    <col min="19" max="19" width="4.7109375" style="3"/>
    <col min="20" max="20" width="6.5703125" style="3" bestFit="1" customWidth="1"/>
    <col min="21" max="22" width="7.5703125" style="3" bestFit="1" customWidth="1"/>
    <col min="23" max="24" width="7.5703125" style="1" bestFit="1" customWidth="1"/>
    <col min="25" max="26" width="4.7109375" style="1"/>
    <col min="27" max="27" width="14.85546875" style="1" bestFit="1" customWidth="1"/>
    <col min="28" max="16384" width="4.7109375" style="1"/>
  </cols>
  <sheetData>
    <row r="2" spans="2:28" x14ac:dyDescent="0.2">
      <c r="B2" s="137" t="s">
        <v>110</v>
      </c>
      <c r="C2" s="139"/>
      <c r="E2" s="137" t="s">
        <v>60</v>
      </c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9"/>
      <c r="AA2" s="137" t="s">
        <v>73</v>
      </c>
      <c r="AB2" s="139"/>
    </row>
    <row r="3" spans="2:28" x14ac:dyDescent="0.2">
      <c r="B3" s="103" t="s">
        <v>4</v>
      </c>
      <c r="C3" s="46" t="s">
        <v>125</v>
      </c>
      <c r="E3" s="44"/>
      <c r="F3" s="61"/>
      <c r="G3" s="61"/>
      <c r="H3" s="61"/>
      <c r="I3" s="62"/>
      <c r="J3" s="62"/>
      <c r="K3" s="62"/>
      <c r="L3" s="62"/>
      <c r="M3" s="38"/>
      <c r="N3" s="38"/>
      <c r="O3" s="33"/>
      <c r="P3" s="61"/>
      <c r="Q3" s="61"/>
      <c r="R3" s="61"/>
      <c r="S3" s="62"/>
      <c r="T3" s="62"/>
      <c r="U3" s="62"/>
      <c r="V3" s="62"/>
      <c r="W3" s="33"/>
      <c r="X3" s="33"/>
      <c r="Y3" s="46"/>
      <c r="AA3" s="44" t="s">
        <v>5</v>
      </c>
      <c r="AB3" s="46" t="s">
        <v>6</v>
      </c>
    </row>
    <row r="4" spans="2:28" x14ac:dyDescent="0.2">
      <c r="B4" s="104" t="s">
        <v>101</v>
      </c>
      <c r="C4" s="112">
        <v>2001</v>
      </c>
      <c r="E4" s="44"/>
      <c r="F4" s="149" t="s">
        <v>5</v>
      </c>
      <c r="G4" s="150"/>
      <c r="H4" s="150"/>
      <c r="I4" s="150"/>
      <c r="J4" s="150"/>
      <c r="K4" s="150"/>
      <c r="L4" s="150"/>
      <c r="M4" s="150"/>
      <c r="N4" s="151"/>
      <c r="O4" s="33"/>
      <c r="P4" s="149" t="s">
        <v>62</v>
      </c>
      <c r="Q4" s="150"/>
      <c r="R4" s="150"/>
      <c r="S4" s="150"/>
      <c r="T4" s="150"/>
      <c r="U4" s="150"/>
      <c r="V4" s="150"/>
      <c r="W4" s="150"/>
      <c r="X4" s="151"/>
      <c r="Y4" s="46"/>
      <c r="AA4" s="44" t="s">
        <v>7</v>
      </c>
      <c r="AB4" s="46" t="s">
        <v>47</v>
      </c>
    </row>
    <row r="5" spans="2:28" x14ac:dyDescent="0.2">
      <c r="E5" s="44"/>
      <c r="F5" s="63" t="s">
        <v>6</v>
      </c>
      <c r="G5" s="64" t="s">
        <v>6</v>
      </c>
      <c r="H5" s="64" t="s">
        <v>6</v>
      </c>
      <c r="I5" s="65" t="s">
        <v>61</v>
      </c>
      <c r="J5" s="66">
        <f>VLOOKUP("2001-W01",PAYTABLE,COLUMN()-3,FALSE)</f>
        <v>4000</v>
      </c>
      <c r="K5" s="66">
        <f>VLOOKUP("2001-W01",PAYTABLE,COLUMN()-3,FALSE)</f>
        <v>8000</v>
      </c>
      <c r="L5" s="66">
        <f>VLOOKUP("2001-W01",PAYTABLE,COLUMN()-3,FALSE)</f>
        <v>12000</v>
      </c>
      <c r="M5" s="67">
        <f>VLOOKUP("2001-W01",PAYTABLE,COLUMN()-3,FALSE)</f>
        <v>16000</v>
      </c>
      <c r="N5" s="43">
        <f>VLOOKUP("2001-W01",PAYTABLE,COLUMN()-3,FALSE)</f>
        <v>20000</v>
      </c>
      <c r="O5" s="33"/>
      <c r="P5" s="68" t="s">
        <v>36</v>
      </c>
      <c r="Q5" s="61" t="s">
        <v>36</v>
      </c>
      <c r="R5" s="61" t="s">
        <v>36</v>
      </c>
      <c r="S5" s="62" t="s">
        <v>61</v>
      </c>
      <c r="T5" s="69">
        <f>VLOOKUP("2001-W02",PAYTABLE,COLUMN()-13,FALSE)</f>
        <v>1200</v>
      </c>
      <c r="U5" s="113">
        <f>VLOOKUP("2001-W02",PAYTABLE,COLUMN()-13,FALSE)</f>
        <v>2400</v>
      </c>
      <c r="V5" s="113">
        <f>VLOOKUP("2001-W02",PAYTABLE,COLUMN()-13,FALSE)</f>
        <v>3600</v>
      </c>
      <c r="W5" s="114">
        <f>VLOOKUP("2001-W02",PAYTABLE,COLUMN()-13,FALSE)</f>
        <v>4800</v>
      </c>
      <c r="X5" s="115">
        <f>VLOOKUP("2001-W02",PAYTABLE,COLUMN()-13,FALSE)</f>
        <v>6000</v>
      </c>
      <c r="Y5" s="46"/>
      <c r="AA5" s="44" t="s">
        <v>8</v>
      </c>
      <c r="AB5" s="46" t="s">
        <v>26</v>
      </c>
    </row>
    <row r="6" spans="2:28" x14ac:dyDescent="0.2">
      <c r="B6" s="137" t="s">
        <v>121</v>
      </c>
      <c r="C6" s="139"/>
      <c r="E6" s="44"/>
      <c r="F6" s="61"/>
      <c r="G6" s="61"/>
      <c r="H6" s="61"/>
      <c r="I6" s="62"/>
      <c r="J6" s="62"/>
      <c r="K6" s="62"/>
      <c r="L6" s="62"/>
      <c r="M6" s="38"/>
      <c r="N6" s="38"/>
      <c r="O6" s="33"/>
      <c r="P6" s="68" t="s">
        <v>37</v>
      </c>
      <c r="Q6" s="61" t="s">
        <v>37</v>
      </c>
      <c r="R6" s="61" t="s">
        <v>37</v>
      </c>
      <c r="S6" s="62" t="s">
        <v>61</v>
      </c>
      <c r="T6" s="69">
        <f>VLOOKUP("2001-W03",PAYTABLE,COLUMN()-13,FALSE)</f>
        <v>900</v>
      </c>
      <c r="U6" s="113">
        <f>VLOOKUP("2001-W03",PAYTABLE,COLUMN()-13,FALSE)</f>
        <v>1800</v>
      </c>
      <c r="V6" s="113">
        <f>VLOOKUP("2001-W03",PAYTABLE,COLUMN()-13,FALSE)</f>
        <v>2700</v>
      </c>
      <c r="W6" s="114">
        <f>VLOOKUP("2001-W03",PAYTABLE,COLUMN()-13,FALSE)</f>
        <v>3600</v>
      </c>
      <c r="X6" s="115">
        <f>VLOOKUP("2001-W03",PAYTABLE,COLUMN()-13,FALSE)</f>
        <v>4500</v>
      </c>
      <c r="Y6" s="46"/>
      <c r="AA6" s="44" t="s">
        <v>9</v>
      </c>
      <c r="AB6" s="46" t="s">
        <v>27</v>
      </c>
    </row>
    <row r="7" spans="2:28" x14ac:dyDescent="0.2">
      <c r="B7" s="103" t="s">
        <v>0</v>
      </c>
      <c r="C7" s="46">
        <v>3</v>
      </c>
      <c r="E7" s="44"/>
      <c r="F7" s="149" t="s">
        <v>63</v>
      </c>
      <c r="G7" s="150"/>
      <c r="H7" s="150"/>
      <c r="I7" s="150"/>
      <c r="J7" s="150"/>
      <c r="K7" s="150"/>
      <c r="L7" s="150"/>
      <c r="M7" s="150"/>
      <c r="N7" s="151"/>
      <c r="O7" s="33"/>
      <c r="P7" s="63" t="s">
        <v>38</v>
      </c>
      <c r="Q7" s="64" t="s">
        <v>38</v>
      </c>
      <c r="R7" s="64" t="s">
        <v>38</v>
      </c>
      <c r="S7" s="65" t="s">
        <v>61</v>
      </c>
      <c r="T7" s="66">
        <f>VLOOKUP("2001-W04",PAYTABLE,COLUMN()-13,FALSE)</f>
        <v>600</v>
      </c>
      <c r="U7" s="116">
        <f>VLOOKUP("2001-W04",PAYTABLE,COLUMN()-13,FALSE)</f>
        <v>1200</v>
      </c>
      <c r="V7" s="116">
        <f>VLOOKUP("2001-W04",PAYTABLE,COLUMN()-13,FALSE)</f>
        <v>1800</v>
      </c>
      <c r="W7" s="117">
        <f>VLOOKUP("2001-W04",PAYTABLE,COLUMN()-13,FALSE)</f>
        <v>2400</v>
      </c>
      <c r="X7" s="118">
        <f>VLOOKUP("2001-W04",PAYTABLE,COLUMN()-13,FALSE)</f>
        <v>3000</v>
      </c>
      <c r="Y7" s="46"/>
      <c r="AA7" s="44" t="s">
        <v>10</v>
      </c>
      <c r="AB7" s="46" t="s">
        <v>28</v>
      </c>
    </row>
    <row r="8" spans="2:28" x14ac:dyDescent="0.2">
      <c r="B8" s="103" t="s">
        <v>1</v>
      </c>
      <c r="C8" s="46">
        <f>ROWS(SYMBOLS)</f>
        <v>21</v>
      </c>
      <c r="E8" s="44"/>
      <c r="F8" s="68" t="s">
        <v>47</v>
      </c>
      <c r="G8" s="61" t="s">
        <v>47</v>
      </c>
      <c r="H8" s="61" t="s">
        <v>47</v>
      </c>
      <c r="I8" s="62" t="s">
        <v>61</v>
      </c>
      <c r="J8" s="69">
        <f>VLOOKUP("2001-W05",PAYTABLE,COLUMN()-3,FALSE)</f>
        <v>500</v>
      </c>
      <c r="K8" s="69">
        <f>VLOOKUP("2001-W05",PAYTABLE,COLUMN()-3,FALSE)</f>
        <v>1000</v>
      </c>
      <c r="L8" s="69">
        <f>VLOOKUP("2001-W05",PAYTABLE,COLUMN()-3,FALSE)</f>
        <v>1500</v>
      </c>
      <c r="M8" s="38">
        <f>VLOOKUP("2001-W05",PAYTABLE,COLUMN()-3,FALSE)</f>
        <v>2000</v>
      </c>
      <c r="N8" s="70">
        <f>VLOOKUP("2001-W05",PAYTABLE,COLUMN()-3,FALSE)</f>
        <v>2500</v>
      </c>
      <c r="O8" s="33"/>
      <c r="P8" s="61"/>
      <c r="Q8" s="71"/>
      <c r="R8" s="61"/>
      <c r="S8" s="62"/>
      <c r="T8" s="62"/>
      <c r="U8" s="62"/>
      <c r="V8" s="62"/>
      <c r="W8" s="38"/>
      <c r="X8" s="38"/>
      <c r="Y8" s="46"/>
      <c r="AA8" s="44" t="s">
        <v>11</v>
      </c>
      <c r="AB8" s="46" t="s">
        <v>29</v>
      </c>
    </row>
    <row r="9" spans="2:28" x14ac:dyDescent="0.2">
      <c r="B9" s="103" t="s">
        <v>2</v>
      </c>
      <c r="C9" s="46">
        <v>5</v>
      </c>
      <c r="E9" s="44"/>
      <c r="F9" s="68" t="s">
        <v>137</v>
      </c>
      <c r="G9" s="61" t="s">
        <v>137</v>
      </c>
      <c r="H9" s="61" t="s">
        <v>137</v>
      </c>
      <c r="I9" s="62" t="s">
        <v>61</v>
      </c>
      <c r="J9" s="69">
        <f>VLOOKUP("2001-W06",PAYTABLE,COLUMN()-3,FALSE)</f>
        <v>400</v>
      </c>
      <c r="K9" s="69">
        <f>VLOOKUP("2001-W06",PAYTABLE,COLUMN()-3,FALSE)</f>
        <v>800</v>
      </c>
      <c r="L9" s="69">
        <f>VLOOKUP("2001-W06",PAYTABLE,COLUMN()-3,FALSE)</f>
        <v>1200</v>
      </c>
      <c r="M9" s="38">
        <f>VLOOKUP("2001-W06",PAYTABLE,COLUMN()-3,FALSE)</f>
        <v>1600</v>
      </c>
      <c r="N9" s="70">
        <f>VLOOKUP("2001-W06",PAYTABLE,COLUMN()-3,FALSE)</f>
        <v>2000</v>
      </c>
      <c r="O9" s="33"/>
      <c r="P9" s="149" t="s">
        <v>64</v>
      </c>
      <c r="Q9" s="150"/>
      <c r="R9" s="150"/>
      <c r="S9" s="150"/>
      <c r="T9" s="150"/>
      <c r="U9" s="150"/>
      <c r="V9" s="150"/>
      <c r="W9" s="150"/>
      <c r="X9" s="151"/>
      <c r="Y9" s="46"/>
      <c r="AA9" s="44" t="s">
        <v>12</v>
      </c>
      <c r="AB9" s="46" t="s">
        <v>30</v>
      </c>
    </row>
    <row r="10" spans="2:28" x14ac:dyDescent="0.2">
      <c r="B10" s="103" t="s">
        <v>122</v>
      </c>
      <c r="C10" s="109">
        <f>CYCLE</f>
        <v>2097152</v>
      </c>
      <c r="E10" s="44"/>
      <c r="F10" s="68" t="s">
        <v>32</v>
      </c>
      <c r="G10" s="61" t="s">
        <v>32</v>
      </c>
      <c r="H10" s="61" t="s">
        <v>32</v>
      </c>
      <c r="I10" s="62" t="s">
        <v>61</v>
      </c>
      <c r="J10" s="69">
        <f>VLOOKUP("2001-W07",PAYTABLE,COLUMN()-3,FALSE)</f>
        <v>200</v>
      </c>
      <c r="K10" s="69">
        <f>VLOOKUP("2001-W07",PAYTABLE,COLUMN()-3,FALSE)</f>
        <v>400</v>
      </c>
      <c r="L10" s="69">
        <f>VLOOKUP("2001-W07",PAYTABLE,COLUMN()-3,FALSE)</f>
        <v>600</v>
      </c>
      <c r="M10" s="38">
        <f>VLOOKUP("2001-W07",PAYTABLE,COLUMN()-3,FALSE)</f>
        <v>800</v>
      </c>
      <c r="N10" s="70">
        <f>VLOOKUP("2001-W07",PAYTABLE,COLUMN()-3,FALSE)</f>
        <v>1000</v>
      </c>
      <c r="O10" s="33"/>
      <c r="P10" s="68" t="s">
        <v>36</v>
      </c>
      <c r="Q10" s="61" t="s">
        <v>36</v>
      </c>
      <c r="R10" s="61" t="s">
        <v>44</v>
      </c>
      <c r="S10" s="62" t="s">
        <v>61</v>
      </c>
      <c r="T10" s="69">
        <f>VLOOKUP("2001-W13",PAYTABLE,COLUMN()-13,FALSE)</f>
        <v>40</v>
      </c>
      <c r="U10" s="69">
        <f>VLOOKUP("2001-W13",PAYTABLE,COLUMN()-13,FALSE)</f>
        <v>80</v>
      </c>
      <c r="V10" s="69">
        <f>VLOOKUP("2001-W13",PAYTABLE,COLUMN()-13,FALSE)</f>
        <v>120</v>
      </c>
      <c r="W10" s="38">
        <f>VLOOKUP("2001-W13",PAYTABLE,COLUMN()-13,FALSE)</f>
        <v>160</v>
      </c>
      <c r="X10" s="70">
        <f>VLOOKUP("2001-W13",PAYTABLE,COLUMN()-13,FALSE)</f>
        <v>200</v>
      </c>
      <c r="Y10" s="46"/>
      <c r="AA10" s="44" t="s">
        <v>13</v>
      </c>
      <c r="AB10" s="46" t="s">
        <v>31</v>
      </c>
    </row>
    <row r="11" spans="2:28" x14ac:dyDescent="0.2">
      <c r="B11" s="152" t="s">
        <v>52</v>
      </c>
      <c r="C11" s="153"/>
      <c r="E11" s="44"/>
      <c r="F11" s="63" t="s">
        <v>33</v>
      </c>
      <c r="G11" s="64" t="s">
        <v>33</v>
      </c>
      <c r="H11" s="64" t="s">
        <v>33</v>
      </c>
      <c r="I11" s="65" t="s">
        <v>61</v>
      </c>
      <c r="J11" s="66">
        <f>VLOOKUP("2001-W08",PAYTABLE,COLUMN()-3,FALSE)</f>
        <v>100</v>
      </c>
      <c r="K11" s="66">
        <f>VLOOKUP("2001-W08",PAYTABLE,COLUMN()-3,FALSE)</f>
        <v>200</v>
      </c>
      <c r="L11" s="66">
        <f>VLOOKUP("2001-W08",PAYTABLE,COLUMN()-3,FALSE)</f>
        <v>300</v>
      </c>
      <c r="M11" s="67">
        <f>VLOOKUP("2001-W08",PAYTABLE,COLUMN()-3,FALSE)</f>
        <v>400</v>
      </c>
      <c r="N11" s="43">
        <f>VLOOKUP("2001-W08",PAYTABLE,COLUMN()-3,FALSE)</f>
        <v>500</v>
      </c>
      <c r="O11" s="33"/>
      <c r="P11" s="68" t="s">
        <v>37</v>
      </c>
      <c r="Q11" s="61" t="s">
        <v>37</v>
      </c>
      <c r="R11" s="61" t="s">
        <v>44</v>
      </c>
      <c r="S11" s="62" t="s">
        <v>61</v>
      </c>
      <c r="T11" s="69">
        <f>VLOOKUP("2001-W16",PAYTABLE,COLUMN()-13,FALSE)</f>
        <v>30</v>
      </c>
      <c r="U11" s="69">
        <f>VLOOKUP("2001-W16",PAYTABLE,COLUMN()-13,FALSE)</f>
        <v>60</v>
      </c>
      <c r="V11" s="69">
        <f>VLOOKUP("2001-W16",PAYTABLE,COLUMN()-13,FALSE)</f>
        <v>90</v>
      </c>
      <c r="W11" s="38">
        <f>VLOOKUP("2001-W16",PAYTABLE,COLUMN()-13,FALSE)</f>
        <v>120</v>
      </c>
      <c r="X11" s="70">
        <f>VLOOKUP("2001-W16",PAYTABLE,COLUMN()-13,FALSE)</f>
        <v>150</v>
      </c>
      <c r="Y11" s="46"/>
      <c r="AA11" s="44" t="s">
        <v>136</v>
      </c>
      <c r="AB11" s="46" t="s">
        <v>137</v>
      </c>
    </row>
    <row r="12" spans="2:28" x14ac:dyDescent="0.2">
      <c r="B12" s="103" t="s">
        <v>66</v>
      </c>
      <c r="C12" s="110">
        <f>COIN1_POUT</f>
        <v>0.87946414947509766</v>
      </c>
      <c r="E12" s="44"/>
      <c r="F12" s="61"/>
      <c r="G12" s="61"/>
      <c r="H12" s="61"/>
      <c r="I12" s="62"/>
      <c r="J12" s="62"/>
      <c r="K12" s="62"/>
      <c r="L12" s="62"/>
      <c r="M12" s="33"/>
      <c r="N12" s="33"/>
      <c r="O12" s="33"/>
      <c r="P12" s="68" t="s">
        <v>38</v>
      </c>
      <c r="Q12" s="61" t="s">
        <v>38</v>
      </c>
      <c r="R12" s="61" t="s">
        <v>44</v>
      </c>
      <c r="S12" s="62" t="s">
        <v>61</v>
      </c>
      <c r="T12" s="69">
        <f>VLOOKUP("2001-W24",PAYTABLE,COLUMN()-13,FALSE)</f>
        <v>20</v>
      </c>
      <c r="U12" s="69">
        <f>VLOOKUP("2001-W24",PAYTABLE,COLUMN()-13,FALSE)</f>
        <v>40</v>
      </c>
      <c r="V12" s="69">
        <f>VLOOKUP("2001-W24",PAYTABLE,COLUMN()-13,FALSE)</f>
        <v>60</v>
      </c>
      <c r="W12" s="38">
        <f>VLOOKUP("2001-W24",PAYTABLE,COLUMN()-13,FALSE)</f>
        <v>80</v>
      </c>
      <c r="X12" s="70">
        <f>VLOOKUP("2001-W24",PAYTABLE,COLUMN()-13,FALSE)</f>
        <v>100</v>
      </c>
      <c r="Y12" s="46"/>
      <c r="AA12" s="44" t="s">
        <v>14</v>
      </c>
      <c r="AB12" s="46" t="s">
        <v>32</v>
      </c>
    </row>
    <row r="13" spans="2:28" x14ac:dyDescent="0.2">
      <c r="B13" s="103" t="s">
        <v>67</v>
      </c>
      <c r="C13" s="110">
        <f>COIN2_POUT</f>
        <v>0.89805030822753906</v>
      </c>
      <c r="D13" s="119"/>
      <c r="E13" s="44"/>
      <c r="F13" s="149" t="s">
        <v>86</v>
      </c>
      <c r="G13" s="150"/>
      <c r="H13" s="150"/>
      <c r="I13" s="150"/>
      <c r="J13" s="150"/>
      <c r="K13" s="150"/>
      <c r="L13" s="150"/>
      <c r="M13" s="150"/>
      <c r="N13" s="151"/>
      <c r="O13" s="33"/>
      <c r="P13" s="68" t="s">
        <v>36</v>
      </c>
      <c r="Q13" s="61"/>
      <c r="R13" s="61" t="s">
        <v>44</v>
      </c>
      <c r="S13" s="62" t="s">
        <v>61</v>
      </c>
      <c r="T13" s="69">
        <f>VLOOKUP("2001-W38",PAYTABLE,COLUMN()-13,FALSE)</f>
        <v>4</v>
      </c>
      <c r="U13" s="69">
        <f>VLOOKUP("2001-W38",PAYTABLE,COLUMN()-13,FALSE)</f>
        <v>8</v>
      </c>
      <c r="V13" s="69">
        <f>VLOOKUP("2001-W38",PAYTABLE,COLUMN()-13,FALSE)</f>
        <v>12</v>
      </c>
      <c r="W13" s="38">
        <f>VLOOKUP("2001-W38",PAYTABLE,COLUMN()-13,FALSE)</f>
        <v>16</v>
      </c>
      <c r="X13" s="70">
        <f>VLOOKUP("2001-W38",PAYTABLE,COLUMN()-13,FALSE)</f>
        <v>20</v>
      </c>
      <c r="Y13" s="46"/>
      <c r="AA13" s="44" t="s">
        <v>15</v>
      </c>
      <c r="AB13" s="46" t="s">
        <v>33</v>
      </c>
    </row>
    <row r="14" spans="2:28" x14ac:dyDescent="0.2">
      <c r="B14" s="103" t="s">
        <v>68</v>
      </c>
      <c r="C14" s="110">
        <f>COIN3_POUT</f>
        <v>0.91665458679199219</v>
      </c>
      <c r="D14" s="119"/>
      <c r="E14" s="44"/>
      <c r="F14" s="68" t="s">
        <v>26</v>
      </c>
      <c r="G14" s="61" t="s">
        <v>26</v>
      </c>
      <c r="H14" s="61" t="s">
        <v>26</v>
      </c>
      <c r="I14" s="62" t="s">
        <v>61</v>
      </c>
      <c r="J14" s="69">
        <f>VLOOKUP("2001-W15",PAYTABLE,COLUMN()-3,FALSE)</f>
        <v>40</v>
      </c>
      <c r="K14" s="69">
        <f>VLOOKUP("2001-W15",PAYTABLE,COLUMN()-3,FALSE)</f>
        <v>80</v>
      </c>
      <c r="L14" s="69">
        <f>VLOOKUP("2001-W15",PAYTABLE,COLUMN()-3,FALSE)</f>
        <v>120</v>
      </c>
      <c r="M14" s="38">
        <f>VLOOKUP("2001-W15",PAYTABLE,COLUMN()-3,FALSE)</f>
        <v>160</v>
      </c>
      <c r="N14" s="70">
        <f>VLOOKUP("2001-W15",PAYTABLE,COLUMN()-3,FALSE)</f>
        <v>200</v>
      </c>
      <c r="O14" s="33"/>
      <c r="P14" s="68" t="s">
        <v>37</v>
      </c>
      <c r="Q14" s="61"/>
      <c r="R14" s="61" t="s">
        <v>44</v>
      </c>
      <c r="S14" s="62" t="s">
        <v>61</v>
      </c>
      <c r="T14" s="69">
        <f>VLOOKUP("2001-W39",PAYTABLE,COLUMN()-13,FALSE)</f>
        <v>3</v>
      </c>
      <c r="U14" s="69">
        <f>VLOOKUP("2001-W39",PAYTABLE,COLUMN()-13,FALSE)</f>
        <v>6</v>
      </c>
      <c r="V14" s="69">
        <f>VLOOKUP("2001-W39",PAYTABLE,COLUMN()-13,FALSE)</f>
        <v>9</v>
      </c>
      <c r="W14" s="38">
        <f>VLOOKUP("2001-W39",PAYTABLE,COLUMN()-13,FALSE)</f>
        <v>12</v>
      </c>
      <c r="X14" s="70">
        <f>VLOOKUP("2001-W39",PAYTABLE,COLUMN()-13,FALSE)</f>
        <v>15</v>
      </c>
      <c r="Y14" s="46"/>
      <c r="AA14" s="44" t="s">
        <v>16</v>
      </c>
      <c r="AB14" s="46" t="s">
        <v>45</v>
      </c>
    </row>
    <row r="15" spans="2:28" x14ac:dyDescent="0.2">
      <c r="B15" s="103" t="s">
        <v>69</v>
      </c>
      <c r="C15" s="110">
        <f>COIN4_POUT</f>
        <v>0.93336772918701172</v>
      </c>
      <c r="D15" s="119"/>
      <c r="E15" s="44"/>
      <c r="F15" s="68" t="s">
        <v>27</v>
      </c>
      <c r="G15" s="61" t="s">
        <v>27</v>
      </c>
      <c r="H15" s="61" t="s">
        <v>27</v>
      </c>
      <c r="I15" s="62" t="s">
        <v>61</v>
      </c>
      <c r="J15" s="69">
        <f>VLOOKUP("2001-W22",PAYTABLE,COLUMN()-3,FALSE)</f>
        <v>25</v>
      </c>
      <c r="K15" s="69">
        <f>VLOOKUP("2001-W22",PAYTABLE,COLUMN()-3,FALSE)</f>
        <v>50</v>
      </c>
      <c r="L15" s="69">
        <f>VLOOKUP("2001-W22",PAYTABLE,COLUMN()-3,FALSE)</f>
        <v>75</v>
      </c>
      <c r="M15" s="38">
        <f>VLOOKUP("2001-W22",PAYTABLE,COLUMN()-3,FALSE)</f>
        <v>100</v>
      </c>
      <c r="N15" s="70">
        <f>VLOOKUP("2001-W22",PAYTABLE,COLUMN()-3,FALSE)</f>
        <v>125</v>
      </c>
      <c r="O15" s="33"/>
      <c r="P15" s="63" t="s">
        <v>38</v>
      </c>
      <c r="Q15" s="64"/>
      <c r="R15" s="64" t="s">
        <v>44</v>
      </c>
      <c r="S15" s="65" t="s">
        <v>61</v>
      </c>
      <c r="T15" s="66">
        <f>VLOOKUP("2001-W40",PAYTABLE,COLUMN()-13,FALSE)</f>
        <v>2</v>
      </c>
      <c r="U15" s="66">
        <f>VLOOKUP("2001-W40",PAYTABLE,COLUMN()-13,FALSE)</f>
        <v>4</v>
      </c>
      <c r="V15" s="66">
        <f>VLOOKUP("2001-W40",PAYTABLE,COLUMN()-13,FALSE)</f>
        <v>6</v>
      </c>
      <c r="W15" s="67">
        <f>VLOOKUP("2001-W40",PAYTABLE,COLUMN()-13,FALSE)</f>
        <v>8</v>
      </c>
      <c r="X15" s="43">
        <f>VLOOKUP("2001-W40",PAYTABLE,COLUMN()-13,FALSE)</f>
        <v>10</v>
      </c>
      <c r="Y15" s="46"/>
      <c r="AA15" s="44" t="s">
        <v>17</v>
      </c>
      <c r="AB15" s="46" t="s">
        <v>34</v>
      </c>
    </row>
    <row r="16" spans="2:28" x14ac:dyDescent="0.2">
      <c r="B16" s="103" t="s">
        <v>70</v>
      </c>
      <c r="C16" s="110">
        <f>COIN5_POUT</f>
        <v>0.95371341705322266</v>
      </c>
      <c r="D16" s="119"/>
      <c r="E16" s="44"/>
      <c r="F16" s="68" t="s">
        <v>28</v>
      </c>
      <c r="G16" s="61" t="s">
        <v>28</v>
      </c>
      <c r="H16" s="61" t="s">
        <v>28</v>
      </c>
      <c r="I16" s="62" t="s">
        <v>61</v>
      </c>
      <c r="J16" s="69">
        <f>VLOOKUP("2001-W28",PAYTABLE,COLUMN()-3,FALSE)</f>
        <v>15</v>
      </c>
      <c r="K16" s="69">
        <f>VLOOKUP("2001-W28",PAYTABLE,COLUMN()-3,FALSE)</f>
        <v>30</v>
      </c>
      <c r="L16" s="69">
        <f>VLOOKUP("2001-W28",PAYTABLE,COLUMN()-3,FALSE)</f>
        <v>45</v>
      </c>
      <c r="M16" s="38">
        <f>VLOOKUP("2001-W28",PAYTABLE,COLUMN()-3,FALSE)</f>
        <v>60</v>
      </c>
      <c r="N16" s="70">
        <f>VLOOKUP("2001-W28",PAYTABLE,COLUMN()-3,FALSE)</f>
        <v>75</v>
      </c>
      <c r="O16" s="33"/>
      <c r="Y16" s="46"/>
      <c r="AA16" s="44" t="s">
        <v>18</v>
      </c>
      <c r="AB16" s="46" t="s">
        <v>46</v>
      </c>
    </row>
    <row r="17" spans="2:28" x14ac:dyDescent="0.2">
      <c r="B17" s="152" t="s">
        <v>56</v>
      </c>
      <c r="C17" s="153"/>
      <c r="E17" s="44"/>
      <c r="F17" s="68" t="s">
        <v>42</v>
      </c>
      <c r="G17" s="61" t="s">
        <v>42</v>
      </c>
      <c r="H17" s="61" t="s">
        <v>42</v>
      </c>
      <c r="I17" s="62" t="s">
        <v>61</v>
      </c>
      <c r="J17" s="69">
        <f>VLOOKUP("2001-W34",PAYTABLE,COLUMN()-3,FALSE)</f>
        <v>5</v>
      </c>
      <c r="K17" s="69">
        <f>VLOOKUP("2001-W34",PAYTABLE,COLUMN()-3,FALSE)</f>
        <v>10</v>
      </c>
      <c r="L17" s="69">
        <f>VLOOKUP("2001-W34",PAYTABLE,COLUMN()-3,FALSE)</f>
        <v>15</v>
      </c>
      <c r="M17" s="38">
        <f>VLOOKUP("2001-W34",PAYTABLE,COLUMN()-3,FALSE)</f>
        <v>20</v>
      </c>
      <c r="N17" s="70">
        <f>VLOOKUP("2001-W34",PAYTABLE,COLUMN()-3,FALSE)</f>
        <v>25</v>
      </c>
      <c r="O17" s="33"/>
      <c r="P17" s="149" t="s">
        <v>65</v>
      </c>
      <c r="Q17" s="150"/>
      <c r="R17" s="150"/>
      <c r="S17" s="150"/>
      <c r="T17" s="150"/>
      <c r="U17" s="150"/>
      <c r="V17" s="150"/>
      <c r="W17" s="150"/>
      <c r="X17" s="151"/>
      <c r="Y17" s="46"/>
      <c r="AA17" s="44" t="s">
        <v>19</v>
      </c>
      <c r="AB17" s="46" t="s">
        <v>35</v>
      </c>
    </row>
    <row r="18" spans="2:28" x14ac:dyDescent="0.2">
      <c r="B18" s="103" t="s">
        <v>66</v>
      </c>
      <c r="C18" s="110">
        <f>COIN1_HTFQ</f>
        <v>0.1277012825012207</v>
      </c>
      <c r="E18" s="44"/>
      <c r="F18" s="68" t="s">
        <v>29</v>
      </c>
      <c r="G18" s="61" t="s">
        <v>29</v>
      </c>
      <c r="H18" s="61" t="s">
        <v>29</v>
      </c>
      <c r="I18" s="62" t="s">
        <v>61</v>
      </c>
      <c r="J18" s="69">
        <f>VLOOKUP("2001-W20",PAYTABLE,COLUMN()-3,FALSE)</f>
        <v>25</v>
      </c>
      <c r="K18" s="69">
        <f>VLOOKUP("2001-W20",PAYTABLE,COLUMN()-3,FALSE)</f>
        <v>50</v>
      </c>
      <c r="L18" s="69">
        <f>VLOOKUP("2001-W20",PAYTABLE,COLUMN()-3,FALSE)</f>
        <v>75</v>
      </c>
      <c r="M18" s="38">
        <f>VLOOKUP("2001-W20",PAYTABLE,COLUMN()-3,FALSE)</f>
        <v>100</v>
      </c>
      <c r="N18" s="70">
        <f>VLOOKUP("2001-W20",PAYTABLE,COLUMN()-3,FALSE)</f>
        <v>125</v>
      </c>
      <c r="O18" s="33"/>
      <c r="P18" s="68" t="s">
        <v>39</v>
      </c>
      <c r="Q18" s="61" t="s">
        <v>39</v>
      </c>
      <c r="R18" s="61" t="s">
        <v>39</v>
      </c>
      <c r="S18" s="62" t="s">
        <v>61</v>
      </c>
      <c r="T18" s="69">
        <f>VLOOKUP("2001-W12",PAYTABLE,COLUMN()-13,FALSE)</f>
        <v>50</v>
      </c>
      <c r="U18" s="69">
        <f>VLOOKUP("2001-W12",PAYTABLE,COLUMN()-13,FALSE)</f>
        <v>100</v>
      </c>
      <c r="V18" s="69">
        <f>VLOOKUP("2001-W12",PAYTABLE,COLUMN()-13,FALSE)</f>
        <v>150</v>
      </c>
      <c r="W18" s="38">
        <f>VLOOKUP("2001-W12",PAYTABLE,COLUMN()-13,FALSE)</f>
        <v>200</v>
      </c>
      <c r="X18" s="132">
        <f>VLOOKUP("2001-W12",PAYTABLE,COLUMN()-13,FALSE)</f>
        <v>250</v>
      </c>
      <c r="Y18" s="46"/>
      <c r="AA18" s="44" t="s">
        <v>20</v>
      </c>
      <c r="AB18" s="46" t="s">
        <v>36</v>
      </c>
    </row>
    <row r="19" spans="2:28" x14ac:dyDescent="0.2">
      <c r="B19" s="103" t="s">
        <v>67</v>
      </c>
      <c r="C19" s="110">
        <f>COIN2_HTFQ</f>
        <v>0.12836122512817383</v>
      </c>
      <c r="D19" s="119"/>
      <c r="E19" s="44"/>
      <c r="F19" s="68" t="s">
        <v>30</v>
      </c>
      <c r="G19" s="61" t="s">
        <v>30</v>
      </c>
      <c r="H19" s="61" t="s">
        <v>30</v>
      </c>
      <c r="I19" s="62" t="s">
        <v>61</v>
      </c>
      <c r="J19" s="69">
        <f>VLOOKUP("2001-W29",PAYTABLE,COLUMN()-3,FALSE)</f>
        <v>15</v>
      </c>
      <c r="K19" s="69">
        <f>VLOOKUP("2001-W29",PAYTABLE,COLUMN()-3,FALSE)</f>
        <v>30</v>
      </c>
      <c r="L19" s="69">
        <f>VLOOKUP("2001-W29",PAYTABLE,COLUMN()-3,FALSE)</f>
        <v>45</v>
      </c>
      <c r="M19" s="38">
        <f>VLOOKUP("2001-W29",PAYTABLE,COLUMN()-3,FALSE)</f>
        <v>60</v>
      </c>
      <c r="N19" s="70">
        <f>VLOOKUP("2001-W29",PAYTABLE,COLUMN()-3,FALSE)</f>
        <v>75</v>
      </c>
      <c r="O19" s="33"/>
      <c r="P19" s="68" t="s">
        <v>40</v>
      </c>
      <c r="Q19" s="61" t="s">
        <v>40</v>
      </c>
      <c r="R19" s="61" t="s">
        <v>40</v>
      </c>
      <c r="S19" s="62" t="s">
        <v>61</v>
      </c>
      <c r="T19" s="69">
        <f>VLOOKUP("2001-W23",PAYTABLE,COLUMN()-13,FALSE)</f>
        <v>20</v>
      </c>
      <c r="U19" s="69">
        <f>VLOOKUP("2001-W23",PAYTABLE,COLUMN()-13,FALSE)</f>
        <v>40</v>
      </c>
      <c r="V19" s="69">
        <f>VLOOKUP("2001-W23",PAYTABLE,COLUMN()-13,FALSE)</f>
        <v>60</v>
      </c>
      <c r="W19" s="38">
        <f>VLOOKUP("2001-W23",PAYTABLE,COLUMN()-13,FALSE)</f>
        <v>80</v>
      </c>
      <c r="X19" s="132">
        <f>VLOOKUP("2001-W23",PAYTABLE,COLUMN()-13,FALSE)</f>
        <v>100</v>
      </c>
      <c r="Y19" s="46"/>
      <c r="AA19" s="44" t="s">
        <v>21</v>
      </c>
      <c r="AB19" s="46" t="s">
        <v>37</v>
      </c>
    </row>
    <row r="20" spans="2:28" x14ac:dyDescent="0.2">
      <c r="B20" s="103" t="s">
        <v>68</v>
      </c>
      <c r="C20" s="110">
        <f>COIN3_HTFQ</f>
        <v>0.13621377944946289</v>
      </c>
      <c r="D20" s="119"/>
      <c r="E20" s="44"/>
      <c r="F20" s="68" t="s">
        <v>31</v>
      </c>
      <c r="G20" s="61" t="s">
        <v>31</v>
      </c>
      <c r="H20" s="61" t="s">
        <v>31</v>
      </c>
      <c r="I20" s="62" t="s">
        <v>61</v>
      </c>
      <c r="J20" s="69">
        <f>VLOOKUP("2001-W31",PAYTABLE,COLUMN()-3,FALSE)</f>
        <v>10</v>
      </c>
      <c r="K20" s="69">
        <f>VLOOKUP("2001-W31",PAYTABLE,COLUMN()-3,FALSE)</f>
        <v>20</v>
      </c>
      <c r="L20" s="69">
        <f>VLOOKUP("2001-W31",PAYTABLE,COLUMN()-3,FALSE)</f>
        <v>30</v>
      </c>
      <c r="M20" s="38">
        <f>VLOOKUP("2001-W31",PAYTABLE,COLUMN()-3,FALSE)</f>
        <v>40</v>
      </c>
      <c r="N20" s="70">
        <f>VLOOKUP("2001-W31",PAYTABLE,COLUMN()-3,FALSE)</f>
        <v>50</v>
      </c>
      <c r="O20" s="33"/>
      <c r="P20" s="63" t="s">
        <v>44</v>
      </c>
      <c r="Q20" s="64" t="s">
        <v>44</v>
      </c>
      <c r="R20" s="64" t="s">
        <v>41</v>
      </c>
      <c r="S20" s="65" t="s">
        <v>61</v>
      </c>
      <c r="T20" s="66">
        <f>VLOOKUP("2001-W36",PAYTABLE,COLUMN()-13,FALSE)</f>
        <v>5</v>
      </c>
      <c r="U20" s="66">
        <f>VLOOKUP("2001-W36",PAYTABLE,COLUMN()-13,FALSE)</f>
        <v>10</v>
      </c>
      <c r="V20" s="66">
        <f>VLOOKUP("2001-W36",PAYTABLE,COLUMN()-13,FALSE)</f>
        <v>15</v>
      </c>
      <c r="W20" s="67">
        <f>VLOOKUP("2001-W36",PAYTABLE,COLUMN()-13,FALSE)</f>
        <v>20</v>
      </c>
      <c r="X20" s="133">
        <f>VLOOKUP("2001-W36",PAYTABLE,COLUMN()-13,FALSE)</f>
        <v>25</v>
      </c>
      <c r="Y20" s="46"/>
      <c r="AA20" s="44" t="s">
        <v>22</v>
      </c>
      <c r="AB20" s="46" t="s">
        <v>38</v>
      </c>
    </row>
    <row r="21" spans="2:28" x14ac:dyDescent="0.2">
      <c r="B21" s="103" t="s">
        <v>69</v>
      </c>
      <c r="C21" s="110">
        <f>COIN4_HTFQ</f>
        <v>0.14526033401489258</v>
      </c>
      <c r="D21" s="119"/>
      <c r="E21" s="44"/>
      <c r="F21" s="63" t="s">
        <v>43</v>
      </c>
      <c r="G21" s="64" t="s">
        <v>43</v>
      </c>
      <c r="H21" s="64" t="s">
        <v>43</v>
      </c>
      <c r="I21" s="65" t="s">
        <v>61</v>
      </c>
      <c r="J21" s="66">
        <f>VLOOKUP("2001-W41",PAYTABLE,COLUMN()-3,FALSE)</f>
        <v>2</v>
      </c>
      <c r="K21" s="66">
        <f>VLOOKUP("2001-W41",PAYTABLE,COLUMN()-3,FALSE)</f>
        <v>4</v>
      </c>
      <c r="L21" s="66">
        <f>VLOOKUP("2001-W41",PAYTABLE,COLUMN()-3,FALSE)</f>
        <v>6</v>
      </c>
      <c r="M21" s="66">
        <f>VLOOKUP("2001-W41",PAYTABLE,COLUMN()-3,FALSE)</f>
        <v>8</v>
      </c>
      <c r="N21" s="127">
        <f>VLOOKUP("2001-W41",PAYTABLE,COLUMN()-3,FALSE)</f>
        <v>10</v>
      </c>
      <c r="O21" s="33"/>
      <c r="P21" s="61"/>
      <c r="Q21" s="61"/>
      <c r="R21" s="61"/>
      <c r="S21" s="62"/>
      <c r="T21" s="62"/>
      <c r="U21" s="62"/>
      <c r="V21" s="62"/>
      <c r="W21" s="33"/>
      <c r="X21" s="33"/>
      <c r="Y21" s="46"/>
      <c r="AA21" s="44" t="s">
        <v>23</v>
      </c>
      <c r="AB21" s="46" t="s">
        <v>39</v>
      </c>
    </row>
    <row r="22" spans="2:28" x14ac:dyDescent="0.2">
      <c r="B22" s="104" t="s">
        <v>70</v>
      </c>
      <c r="C22" s="111">
        <f>COIN5_HTFQ</f>
        <v>0.15241193771362305</v>
      </c>
      <c r="D22" s="119"/>
      <c r="E22" s="44"/>
      <c r="F22" s="61"/>
      <c r="G22" s="61"/>
      <c r="H22" s="61"/>
      <c r="I22" s="62"/>
      <c r="J22" s="62"/>
      <c r="K22" s="62"/>
      <c r="L22" s="62"/>
      <c r="M22" s="33"/>
      <c r="N22" s="33"/>
      <c r="O22" s="33"/>
      <c r="P22" s="149" t="s">
        <v>72</v>
      </c>
      <c r="Q22" s="150"/>
      <c r="R22" s="150"/>
      <c r="S22" s="150"/>
      <c r="T22" s="150"/>
      <c r="U22" s="150"/>
      <c r="V22" s="150"/>
      <c r="W22" s="150"/>
      <c r="X22" s="151"/>
      <c r="Y22" s="46"/>
      <c r="AA22" s="44" t="s">
        <v>24</v>
      </c>
      <c r="AB22" s="46" t="s">
        <v>40</v>
      </c>
    </row>
    <row r="23" spans="2:28" x14ac:dyDescent="0.2">
      <c r="B23" s="157" t="s">
        <v>184</v>
      </c>
      <c r="C23" s="158"/>
      <c r="E23" s="44"/>
      <c r="F23" s="149" t="s">
        <v>100</v>
      </c>
      <c r="G23" s="150"/>
      <c r="H23" s="150"/>
      <c r="I23" s="150"/>
      <c r="J23" s="150"/>
      <c r="K23" s="150"/>
      <c r="L23" s="150"/>
      <c r="M23" s="150"/>
      <c r="N23" s="151"/>
      <c r="O23" s="33"/>
      <c r="P23" s="154" t="s">
        <v>124</v>
      </c>
      <c r="Q23" s="155"/>
      <c r="R23" s="155"/>
      <c r="S23" s="155"/>
      <c r="T23" s="155"/>
      <c r="U23" s="155"/>
      <c r="V23" s="155"/>
      <c r="W23" s="155"/>
      <c r="X23" s="156"/>
      <c r="Y23" s="46"/>
      <c r="AA23" s="42" t="s">
        <v>25</v>
      </c>
      <c r="AB23" s="47" t="s">
        <v>41</v>
      </c>
    </row>
    <row r="24" spans="2:28" x14ac:dyDescent="0.2">
      <c r="B24" s="103" t="s">
        <v>66</v>
      </c>
      <c r="C24" s="130">
        <f ca="1">CYCLE/SUMIF(OFFSET(PAYTABLE,0,4,ROWS(PAYTABLE),1),"SECG-*",OFFSET(PAYTABLE,0,14+((ROW()-24)*10),ROWS(PAYTABLE),1))</f>
        <v>29.43453851336178</v>
      </c>
      <c r="E24" s="44"/>
      <c r="F24" s="68" t="s">
        <v>44</v>
      </c>
      <c r="G24" s="61" t="s">
        <v>44</v>
      </c>
      <c r="H24" s="61" t="s">
        <v>35</v>
      </c>
      <c r="I24" s="62" t="s">
        <v>61</v>
      </c>
      <c r="J24" s="62">
        <f>VLOOKUP("2001-W32",PAYTABLE,COLUMN()-3,FALSE)</f>
        <v>10</v>
      </c>
      <c r="K24" s="62">
        <f>VLOOKUP("2001-W32",PAYTABLE,COLUMN()-3,FALSE)</f>
        <v>20</v>
      </c>
      <c r="L24" s="62">
        <f>VLOOKUP("2001-W32",PAYTABLE,COLUMN()-3,FALSE)</f>
        <v>30</v>
      </c>
      <c r="M24" s="38">
        <f>VLOOKUP("2001-W32",PAYTABLE,COLUMN()-3,FALSE)</f>
        <v>40</v>
      </c>
      <c r="N24" s="132">
        <f>VLOOKUP("2001-W32",PAYTABLE,COLUMN()-3,FALSE)</f>
        <v>50</v>
      </c>
      <c r="O24" s="33"/>
      <c r="P24" s="154" t="s">
        <v>87</v>
      </c>
      <c r="Q24" s="155"/>
      <c r="R24" s="155"/>
      <c r="S24" s="155"/>
      <c r="T24" s="155"/>
      <c r="U24" s="155"/>
      <c r="V24" s="155"/>
      <c r="W24" s="155"/>
      <c r="X24" s="156"/>
      <c r="Y24" s="46"/>
    </row>
    <row r="25" spans="2:28" x14ac:dyDescent="0.2">
      <c r="B25" s="103" t="s">
        <v>67</v>
      </c>
      <c r="C25" s="130">
        <f ca="1">CYCLE/SUMIF(OFFSET(PAYTABLE,0,4,ROWS(PAYTABLE),1),"SECG-*",OFFSET(PAYTABLE,0,14+((ROW()-24)*10),ROWS(PAYTABLE),1))</f>
        <v>29.534024335286166</v>
      </c>
      <c r="E25" s="44"/>
      <c r="F25" s="63" t="s">
        <v>44</v>
      </c>
      <c r="G25" s="64" t="s">
        <v>44</v>
      </c>
      <c r="H25" s="64" t="s">
        <v>46</v>
      </c>
      <c r="I25" s="65" t="s">
        <v>61</v>
      </c>
      <c r="J25" s="66">
        <f>VLOOKUP("2001-W39",PAYTABLE,COLUMN()-3,FALSE)</f>
        <v>3</v>
      </c>
      <c r="K25" s="66">
        <f>VLOOKUP("2001-W39",PAYTABLE,COLUMN()-3,FALSE)</f>
        <v>6</v>
      </c>
      <c r="L25" s="66">
        <f>VLOOKUP("2001-W39",PAYTABLE,COLUMN()-3,FALSE)</f>
        <v>9</v>
      </c>
      <c r="M25" s="67">
        <f>VLOOKUP("2001-W39",PAYTABLE,COLUMN()-3,FALSE)</f>
        <v>12</v>
      </c>
      <c r="N25" s="43">
        <f>VLOOKUP("2001-W39",PAYTABLE,COLUMN()-3,FALSE)</f>
        <v>15</v>
      </c>
      <c r="O25" s="33"/>
      <c r="P25" s="154" t="s">
        <v>88</v>
      </c>
      <c r="Q25" s="155"/>
      <c r="R25" s="155"/>
      <c r="S25" s="155"/>
      <c r="T25" s="155"/>
      <c r="U25" s="155"/>
      <c r="V25" s="155"/>
      <c r="W25" s="155"/>
      <c r="X25" s="156"/>
      <c r="Y25" s="46"/>
    </row>
    <row r="26" spans="2:28" x14ac:dyDescent="0.2">
      <c r="B26" s="103" t="s">
        <v>68</v>
      </c>
      <c r="C26" s="130">
        <f ca="1">CYCLE/SUMIF(OFFSET(PAYTABLE,0,4,ROWS(PAYTABLE),1),"SECG-*",OFFSET(PAYTABLE,0,14+((ROW()-24)*10),ROWS(PAYTABLE),1))</f>
        <v>29.499127890620603</v>
      </c>
      <c r="E26" s="44"/>
      <c r="F26" s="61"/>
      <c r="G26" s="61"/>
      <c r="H26" s="61"/>
      <c r="I26" s="62"/>
      <c r="J26" s="62"/>
      <c r="K26" s="62"/>
      <c r="L26" s="62"/>
      <c r="M26" s="33"/>
      <c r="N26" s="33"/>
      <c r="O26" s="33"/>
      <c r="P26" s="154" t="s">
        <v>107</v>
      </c>
      <c r="Q26" s="155"/>
      <c r="R26" s="155"/>
      <c r="S26" s="155"/>
      <c r="T26" s="155"/>
      <c r="U26" s="155"/>
      <c r="V26" s="155"/>
      <c r="W26" s="155"/>
      <c r="X26" s="156"/>
      <c r="Y26" s="46"/>
    </row>
    <row r="27" spans="2:28" x14ac:dyDescent="0.2">
      <c r="B27" s="103" t="s">
        <v>69</v>
      </c>
      <c r="C27" s="130">
        <f ca="1">CYCLE/SUMIF(OFFSET(PAYTABLE,0,4,ROWS(PAYTABLE),1),"SECG-*",OFFSET(PAYTABLE,0,14+((ROW()-24)*10),ROWS(PAYTABLE),1))</f>
        <v>29.064944424425533</v>
      </c>
      <c r="E27" s="44"/>
      <c r="F27" s="61"/>
      <c r="G27" s="61"/>
      <c r="H27" s="61"/>
      <c r="I27" s="62"/>
      <c r="J27" s="62"/>
      <c r="K27" s="62"/>
      <c r="L27" s="62"/>
      <c r="M27" s="33"/>
      <c r="N27" s="33"/>
      <c r="O27" s="33"/>
      <c r="P27" s="146" t="s">
        <v>185</v>
      </c>
      <c r="Q27" s="147"/>
      <c r="R27" s="147"/>
      <c r="S27" s="147"/>
      <c r="T27" s="147"/>
      <c r="U27" s="147"/>
      <c r="V27" s="147"/>
      <c r="W27" s="147"/>
      <c r="X27" s="148"/>
      <c r="Y27" s="46"/>
    </row>
    <row r="28" spans="2:28" x14ac:dyDescent="0.2">
      <c r="B28" s="104" t="s">
        <v>70</v>
      </c>
      <c r="C28" s="131">
        <f ca="1">CYCLE/SUMIF(OFFSET(PAYTABLE,0,4,ROWS(PAYTABLE),1),"SECG-*",OFFSET(PAYTABLE,0,14+((ROW()-24)*10),ROWS(PAYTABLE),1))</f>
        <v>24.063154029741142</v>
      </c>
      <c r="E28" s="42"/>
      <c r="F28" s="64"/>
      <c r="G28" s="64"/>
      <c r="H28" s="64"/>
      <c r="I28" s="65"/>
      <c r="J28" s="65"/>
      <c r="K28" s="65"/>
      <c r="L28" s="65"/>
      <c r="M28" s="37"/>
      <c r="N28" s="37"/>
      <c r="O28" s="37"/>
      <c r="P28" s="64"/>
      <c r="Q28" s="64"/>
      <c r="R28" s="64"/>
      <c r="S28" s="65"/>
      <c r="T28" s="65"/>
      <c r="U28" s="65"/>
      <c r="V28" s="65"/>
      <c r="W28" s="37"/>
      <c r="X28" s="37"/>
      <c r="Y28" s="47"/>
    </row>
    <row r="30" spans="2:28" x14ac:dyDescent="0.2">
      <c r="C30" s="119"/>
    </row>
  </sheetData>
  <mergeCells count="20">
    <mergeCell ref="AA2:AB2"/>
    <mergeCell ref="E2:Y2"/>
    <mergeCell ref="P9:X9"/>
    <mergeCell ref="P23:X23"/>
    <mergeCell ref="P24:X24"/>
    <mergeCell ref="P27:X27"/>
    <mergeCell ref="B2:C2"/>
    <mergeCell ref="P22:X22"/>
    <mergeCell ref="F4:N4"/>
    <mergeCell ref="P4:X4"/>
    <mergeCell ref="F7:N7"/>
    <mergeCell ref="F23:N23"/>
    <mergeCell ref="P17:X17"/>
    <mergeCell ref="B17:C17"/>
    <mergeCell ref="B6:C6"/>
    <mergeCell ref="B11:C11"/>
    <mergeCell ref="P25:X25"/>
    <mergeCell ref="P26:X26"/>
    <mergeCell ref="B23:C23"/>
    <mergeCell ref="F13:N13"/>
  </mergeCells>
  <dataValidations count="1">
    <dataValidation type="list" allowBlank="1" showInputMessage="1" showErrorMessage="1" sqref="P18:R20 F5:H5 P5:R7 F24:H25 P10:R15 F8:H11 F14:H21" xr:uid="{00000000-0002-0000-0100-000000000000}">
      <formula1>PAY_SYMBOLS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J49"/>
  <sheetViews>
    <sheetView zoomScale="130" zoomScaleNormal="130" workbookViewId="0">
      <selection activeCell="F37" sqref="F37"/>
    </sheetView>
  </sheetViews>
  <sheetFormatPr defaultColWidth="4.7109375" defaultRowHeight="12.75" x14ac:dyDescent="0.2"/>
  <cols>
    <col min="1" max="1" width="4.7109375" style="1"/>
    <col min="2" max="2" width="12.140625" style="1" customWidth="1"/>
    <col min="3" max="4" width="4.7109375" style="1"/>
    <col min="5" max="5" width="4.7109375" style="1" customWidth="1"/>
    <col min="6" max="6" width="10" style="1" bestFit="1" customWidth="1"/>
    <col min="7" max="7" width="4.7109375" style="1"/>
    <col min="8" max="11" width="7.5703125" style="1" bestFit="1" customWidth="1"/>
    <col min="12" max="12" width="8.5703125" style="1" bestFit="1" customWidth="1"/>
    <col min="13" max="13" width="4.7109375" style="1"/>
    <col min="14" max="14" width="8.5703125" style="1" bestFit="1" customWidth="1"/>
    <col min="15" max="15" width="7.5703125" style="1" bestFit="1" customWidth="1"/>
    <col min="16" max="16" width="9.28515625" style="1" bestFit="1" customWidth="1"/>
    <col min="17" max="17" width="10.140625" style="1" bestFit="1" customWidth="1"/>
    <col min="18" max="18" width="10" style="1" bestFit="1" customWidth="1"/>
    <col min="19" max="19" width="8.5703125" style="1" bestFit="1" customWidth="1"/>
    <col min="20" max="20" width="9.42578125" style="1" bestFit="1" customWidth="1"/>
    <col min="21" max="21" width="10" style="1" bestFit="1" customWidth="1"/>
    <col min="22" max="22" width="9.7109375" style="1" bestFit="1" customWidth="1"/>
    <col min="23" max="23" width="4.7109375" style="1"/>
    <col min="24" max="24" width="8.5703125" style="1" bestFit="1" customWidth="1"/>
    <col min="25" max="25" width="7.5703125" style="1" bestFit="1" customWidth="1"/>
    <col min="26" max="26" width="9.28515625" style="1" bestFit="1" customWidth="1"/>
    <col min="27" max="27" width="9.7109375" style="1" bestFit="1" customWidth="1"/>
    <col min="28" max="29" width="8.5703125" style="1" bestFit="1" customWidth="1"/>
    <col min="30" max="30" width="9.42578125" style="1" bestFit="1" customWidth="1"/>
    <col min="31" max="31" width="10" style="1" bestFit="1" customWidth="1"/>
    <col min="32" max="32" width="9.7109375" style="1" bestFit="1" customWidth="1"/>
    <col min="33" max="33" width="4.7109375" style="1"/>
    <col min="34" max="34" width="8.5703125" style="1" bestFit="1" customWidth="1"/>
    <col min="35" max="35" width="7.5703125" style="1" bestFit="1" customWidth="1"/>
    <col min="36" max="36" width="9.28515625" style="1" bestFit="1" customWidth="1"/>
    <col min="37" max="37" width="9.7109375" style="1" bestFit="1" customWidth="1"/>
    <col min="38" max="38" width="10" style="1" bestFit="1" customWidth="1"/>
    <col min="39" max="39" width="8.5703125" style="1" bestFit="1" customWidth="1"/>
    <col min="40" max="40" width="9.42578125" style="1" bestFit="1" customWidth="1"/>
    <col min="41" max="41" width="10" style="1" bestFit="1" customWidth="1"/>
    <col min="42" max="42" width="9.7109375" style="1" bestFit="1" customWidth="1"/>
    <col min="43" max="43" width="4.7109375" style="1"/>
    <col min="44" max="44" width="8.5703125" style="1" bestFit="1" customWidth="1"/>
    <col min="45" max="45" width="7.5703125" style="1" bestFit="1" customWidth="1"/>
    <col min="46" max="46" width="9.28515625" style="1" bestFit="1" customWidth="1"/>
    <col min="47" max="47" width="9.7109375" style="1" bestFit="1" customWidth="1"/>
    <col min="48" max="48" width="10" style="1" bestFit="1" customWidth="1"/>
    <col min="49" max="49" width="8.5703125" style="1" bestFit="1" customWidth="1"/>
    <col min="50" max="50" width="9.42578125" style="1" bestFit="1" customWidth="1"/>
    <col min="51" max="51" width="10" style="1" bestFit="1" customWidth="1"/>
    <col min="52" max="52" width="9.7109375" style="1" bestFit="1" customWidth="1"/>
    <col min="53" max="53" width="4.7109375" style="1"/>
    <col min="54" max="54" width="8.5703125" style="1" bestFit="1" customWidth="1"/>
    <col min="55" max="55" width="7.5703125" style="1" bestFit="1" customWidth="1"/>
    <col min="56" max="56" width="9.28515625" style="1" bestFit="1" customWidth="1"/>
    <col min="57" max="57" width="9.7109375" style="1" bestFit="1" customWidth="1"/>
    <col min="58" max="58" width="10" style="1" bestFit="1" customWidth="1"/>
    <col min="59" max="59" width="8.5703125" style="1" bestFit="1" customWidth="1"/>
    <col min="60" max="60" width="9.42578125" style="1" bestFit="1" customWidth="1"/>
    <col min="61" max="61" width="11" style="1" bestFit="1" customWidth="1"/>
    <col min="62" max="62" width="9.7109375" style="1" bestFit="1" customWidth="1"/>
    <col min="63" max="16384" width="4.7109375" style="1"/>
  </cols>
  <sheetData>
    <row r="2" spans="2:62" x14ac:dyDescent="0.2">
      <c r="B2" s="166" t="s">
        <v>97</v>
      </c>
      <c r="C2" s="167"/>
      <c r="D2" s="167"/>
      <c r="E2" s="167"/>
      <c r="F2" s="167"/>
      <c r="G2" s="168"/>
      <c r="H2" s="174">
        <f>PRODUCT(REEL1_VSTOPS,REEL2_VSTOPS,REEL3_VSTOPS)</f>
        <v>2097152</v>
      </c>
      <c r="I2" s="175"/>
      <c r="J2" s="175"/>
      <c r="K2" s="175"/>
      <c r="L2" s="176"/>
      <c r="N2" s="137" t="s">
        <v>66</v>
      </c>
      <c r="O2" s="138"/>
      <c r="P2" s="138"/>
      <c r="Q2" s="138"/>
      <c r="R2" s="138"/>
      <c r="S2" s="138"/>
      <c r="T2" s="138"/>
      <c r="U2" s="138"/>
      <c r="V2" s="139"/>
      <c r="X2" s="137" t="s">
        <v>67</v>
      </c>
      <c r="Y2" s="138"/>
      <c r="Z2" s="138"/>
      <c r="AA2" s="138"/>
      <c r="AB2" s="138"/>
      <c r="AC2" s="138"/>
      <c r="AD2" s="138"/>
      <c r="AE2" s="138"/>
      <c r="AF2" s="139"/>
      <c r="AH2" s="137" t="s">
        <v>68</v>
      </c>
      <c r="AI2" s="138"/>
      <c r="AJ2" s="138"/>
      <c r="AK2" s="138"/>
      <c r="AL2" s="138"/>
      <c r="AM2" s="138"/>
      <c r="AN2" s="138"/>
      <c r="AO2" s="138"/>
      <c r="AP2" s="139"/>
      <c r="AR2" s="137" t="s">
        <v>69</v>
      </c>
      <c r="AS2" s="138"/>
      <c r="AT2" s="138"/>
      <c r="AU2" s="138"/>
      <c r="AV2" s="138"/>
      <c r="AW2" s="138"/>
      <c r="AX2" s="138"/>
      <c r="AY2" s="138"/>
      <c r="AZ2" s="139"/>
      <c r="BB2" s="137" t="s">
        <v>70</v>
      </c>
      <c r="BC2" s="138"/>
      <c r="BD2" s="138"/>
      <c r="BE2" s="138"/>
      <c r="BF2" s="138"/>
      <c r="BG2" s="138"/>
      <c r="BH2" s="138"/>
      <c r="BI2" s="138"/>
      <c r="BJ2" s="139"/>
    </row>
    <row r="3" spans="2:62" x14ac:dyDescent="0.2">
      <c r="N3" s="169" t="s">
        <v>56</v>
      </c>
      <c r="O3" s="170"/>
      <c r="P3" s="92">
        <f>COIN1_HITS/CYCLE</f>
        <v>0.1277012825012207</v>
      </c>
      <c r="Q3" s="170" t="s">
        <v>52</v>
      </c>
      <c r="R3" s="170"/>
      <c r="S3" s="90">
        <f>COIN1_COUT/(CYCLE*1)</f>
        <v>0.87946414947509766</v>
      </c>
      <c r="T3" s="170" t="s">
        <v>98</v>
      </c>
      <c r="U3" s="170"/>
      <c r="V3" s="45">
        <f>(1-COIN1_POUT)</f>
        <v>0.12053585052490234</v>
      </c>
      <c r="X3" s="169" t="s">
        <v>56</v>
      </c>
      <c r="Y3" s="170"/>
      <c r="Z3" s="92">
        <f>COIN2_HITS/CYCLE</f>
        <v>0.12836122512817383</v>
      </c>
      <c r="AA3" s="170" t="s">
        <v>52</v>
      </c>
      <c r="AB3" s="170"/>
      <c r="AC3" s="90">
        <f>COIN2_COUT/(CYCLE*2)</f>
        <v>0.89805030822753906</v>
      </c>
      <c r="AD3" s="170" t="s">
        <v>98</v>
      </c>
      <c r="AE3" s="170"/>
      <c r="AF3" s="45">
        <f>(1-COIN2_POUT)</f>
        <v>0.10194969177246094</v>
      </c>
      <c r="AH3" s="169" t="s">
        <v>56</v>
      </c>
      <c r="AI3" s="170"/>
      <c r="AJ3" s="92">
        <f>COIN3_HITS/CYCLE</f>
        <v>0.13621377944946289</v>
      </c>
      <c r="AK3" s="170" t="s">
        <v>52</v>
      </c>
      <c r="AL3" s="170"/>
      <c r="AM3" s="90">
        <f>COIN3_COUT/(CYCLE*3)</f>
        <v>0.91665458679199219</v>
      </c>
      <c r="AN3" s="170" t="s">
        <v>98</v>
      </c>
      <c r="AO3" s="170"/>
      <c r="AP3" s="45">
        <f>(1-COIN3_POUT)</f>
        <v>8.3345413208007813E-2</v>
      </c>
      <c r="AR3" s="169" t="s">
        <v>56</v>
      </c>
      <c r="AS3" s="170"/>
      <c r="AT3" s="92">
        <f>COIN4_HITS/CYCLE</f>
        <v>0.14526033401489258</v>
      </c>
      <c r="AU3" s="170" t="s">
        <v>52</v>
      </c>
      <c r="AV3" s="170"/>
      <c r="AW3" s="90">
        <f>COIN4_COUT/(CYCLE*4)</f>
        <v>0.93336772918701172</v>
      </c>
      <c r="AX3" s="170" t="s">
        <v>98</v>
      </c>
      <c r="AY3" s="170"/>
      <c r="AZ3" s="45">
        <f>(1-COIN4_POUT)</f>
        <v>6.6632270812988281E-2</v>
      </c>
      <c r="BB3" s="169" t="s">
        <v>56</v>
      </c>
      <c r="BC3" s="170"/>
      <c r="BD3" s="92">
        <f>COIN5_HITS/CYCLE</f>
        <v>0.15241193771362305</v>
      </c>
      <c r="BE3" s="170" t="s">
        <v>52</v>
      </c>
      <c r="BF3" s="170"/>
      <c r="BG3" s="90">
        <f>COIN5_COUT/(CYCLE*5)</f>
        <v>0.95371341705322266</v>
      </c>
      <c r="BH3" s="170" t="s">
        <v>98</v>
      </c>
      <c r="BI3" s="170"/>
      <c r="BJ3" s="45">
        <f>(1-COIN5_POUT)</f>
        <v>4.6286582946777344E-2</v>
      </c>
    </row>
    <row r="4" spans="2:62" s="2" customFormat="1" x14ac:dyDescent="0.2">
      <c r="B4" s="137" t="s">
        <v>126</v>
      </c>
      <c r="C4" s="138"/>
      <c r="D4" s="138"/>
      <c r="E4" s="138"/>
      <c r="F4" s="139"/>
      <c r="H4" s="137" t="s">
        <v>127</v>
      </c>
      <c r="I4" s="138"/>
      <c r="J4" s="138"/>
      <c r="K4" s="138"/>
      <c r="L4" s="139"/>
      <c r="N4" s="171" t="s">
        <v>93</v>
      </c>
      <c r="O4" s="172"/>
      <c r="P4" s="172"/>
      <c r="Q4" s="172"/>
      <c r="R4" s="172"/>
      <c r="S4" s="172"/>
      <c r="T4" s="172"/>
      <c r="U4" s="172"/>
      <c r="V4" s="173"/>
      <c r="X4" s="171" t="s">
        <v>93</v>
      </c>
      <c r="Y4" s="172"/>
      <c r="Z4" s="172"/>
      <c r="AA4" s="172"/>
      <c r="AB4" s="172"/>
      <c r="AC4" s="172"/>
      <c r="AD4" s="172"/>
      <c r="AE4" s="172"/>
      <c r="AF4" s="173"/>
      <c r="AH4" s="171" t="s">
        <v>93</v>
      </c>
      <c r="AI4" s="172"/>
      <c r="AJ4" s="172"/>
      <c r="AK4" s="172"/>
      <c r="AL4" s="172"/>
      <c r="AM4" s="172"/>
      <c r="AN4" s="172"/>
      <c r="AO4" s="172"/>
      <c r="AP4" s="173"/>
      <c r="AR4" s="171" t="s">
        <v>93</v>
      </c>
      <c r="AS4" s="172"/>
      <c r="AT4" s="172"/>
      <c r="AU4" s="172"/>
      <c r="AV4" s="172"/>
      <c r="AW4" s="172"/>
      <c r="AX4" s="172"/>
      <c r="AY4" s="172"/>
      <c r="AZ4" s="173"/>
      <c r="BB4" s="171" t="s">
        <v>93</v>
      </c>
      <c r="BC4" s="172"/>
      <c r="BD4" s="172"/>
      <c r="BE4" s="172"/>
      <c r="BF4" s="172"/>
      <c r="BG4" s="172"/>
      <c r="BH4" s="172"/>
      <c r="BI4" s="172"/>
      <c r="BJ4" s="173"/>
    </row>
    <row r="5" spans="2:62" s="2" customFormat="1" x14ac:dyDescent="0.2">
      <c r="B5" s="5" t="s">
        <v>186</v>
      </c>
      <c r="C5" s="6" t="s">
        <v>48</v>
      </c>
      <c r="D5" s="6" t="s">
        <v>49</v>
      </c>
      <c r="E5" s="6" t="s">
        <v>50</v>
      </c>
      <c r="F5" s="8" t="s">
        <v>77</v>
      </c>
      <c r="H5" s="11" t="s">
        <v>66</v>
      </c>
      <c r="I5" s="12" t="s">
        <v>67</v>
      </c>
      <c r="J5" s="12" t="s">
        <v>68</v>
      </c>
      <c r="K5" s="12" t="s">
        <v>69</v>
      </c>
      <c r="L5" s="22" t="s">
        <v>70</v>
      </c>
      <c r="N5" s="9" t="s">
        <v>94</v>
      </c>
      <c r="O5" s="7" t="s">
        <v>99</v>
      </c>
      <c r="P5" s="7" t="s">
        <v>95</v>
      </c>
      <c r="Q5" s="7" t="s">
        <v>53</v>
      </c>
      <c r="R5" s="7" t="s">
        <v>54</v>
      </c>
      <c r="S5" s="7" t="s">
        <v>55</v>
      </c>
      <c r="T5" s="7" t="s">
        <v>57</v>
      </c>
      <c r="U5" s="7" t="s">
        <v>71</v>
      </c>
      <c r="V5" s="10" t="s">
        <v>96</v>
      </c>
      <c r="X5" s="9" t="s">
        <v>94</v>
      </c>
      <c r="Y5" s="7" t="s">
        <v>99</v>
      </c>
      <c r="Z5" s="7" t="s">
        <v>95</v>
      </c>
      <c r="AA5" s="7" t="s">
        <v>53</v>
      </c>
      <c r="AB5" s="7" t="s">
        <v>54</v>
      </c>
      <c r="AC5" s="7" t="s">
        <v>55</v>
      </c>
      <c r="AD5" s="7" t="s">
        <v>57</v>
      </c>
      <c r="AE5" s="7" t="s">
        <v>71</v>
      </c>
      <c r="AF5" s="10" t="s">
        <v>96</v>
      </c>
      <c r="AH5" s="9" t="s">
        <v>94</v>
      </c>
      <c r="AI5" s="7" t="s">
        <v>99</v>
      </c>
      <c r="AJ5" s="7" t="s">
        <v>95</v>
      </c>
      <c r="AK5" s="7" t="s">
        <v>53</v>
      </c>
      <c r="AL5" s="7" t="s">
        <v>54</v>
      </c>
      <c r="AM5" s="7" t="s">
        <v>55</v>
      </c>
      <c r="AN5" s="7" t="s">
        <v>57</v>
      </c>
      <c r="AO5" s="7" t="s">
        <v>71</v>
      </c>
      <c r="AP5" s="10" t="s">
        <v>96</v>
      </c>
      <c r="AR5" s="9" t="s">
        <v>94</v>
      </c>
      <c r="AS5" s="7" t="s">
        <v>99</v>
      </c>
      <c r="AT5" s="7" t="s">
        <v>95</v>
      </c>
      <c r="AU5" s="7" t="s">
        <v>53</v>
      </c>
      <c r="AV5" s="7" t="s">
        <v>54</v>
      </c>
      <c r="AW5" s="7" t="s">
        <v>55</v>
      </c>
      <c r="AX5" s="7" t="s">
        <v>57</v>
      </c>
      <c r="AY5" s="7" t="s">
        <v>71</v>
      </c>
      <c r="AZ5" s="10" t="s">
        <v>96</v>
      </c>
      <c r="BB5" s="9" t="s">
        <v>94</v>
      </c>
      <c r="BC5" s="7" t="s">
        <v>99</v>
      </c>
      <c r="BD5" s="7" t="s">
        <v>95</v>
      </c>
      <c r="BE5" s="7" t="s">
        <v>53</v>
      </c>
      <c r="BF5" s="7" t="s">
        <v>54</v>
      </c>
      <c r="BG5" s="7" t="s">
        <v>55</v>
      </c>
      <c r="BH5" s="7" t="s">
        <v>57</v>
      </c>
      <c r="BI5" s="7" t="s">
        <v>71</v>
      </c>
      <c r="BJ5" s="10" t="s">
        <v>96</v>
      </c>
    </row>
    <row r="6" spans="2:62" x14ac:dyDescent="0.2">
      <c r="B6" s="44" t="s">
        <v>168</v>
      </c>
      <c r="C6" s="33" t="s">
        <v>6</v>
      </c>
      <c r="D6" s="33" t="s">
        <v>6</v>
      </c>
      <c r="E6" s="33" t="s">
        <v>6</v>
      </c>
      <c r="F6" s="120"/>
      <c r="H6" s="48">
        <v>4000</v>
      </c>
      <c r="I6" s="49">
        <v>8000</v>
      </c>
      <c r="J6" s="49">
        <v>12000</v>
      </c>
      <c r="K6" s="49">
        <v>16000</v>
      </c>
      <c r="L6" s="50">
        <v>20000</v>
      </c>
      <c r="N6" s="57">
        <f t="shared" ref="N6:N48" si="0">PRODUCT(VLOOKUP($C6,SYMBOL_FACTORS,(COLUMN()-14)*3/10+1+1,FALSE),VLOOKUP($D6,SYMBOL_FACTORS,(COLUMN()-14)*3/10+1+2,FALSE),VLOOKUP($E6,SYMBOL_FACTORS,(COLUMN()-14)*3/10+1+3,FALSE))</f>
        <v>16</v>
      </c>
      <c r="O6" s="58"/>
      <c r="P6" s="58">
        <f t="shared" ref="P6:P48" si="1">IF(H6="",0,N6-O6)</f>
        <v>16</v>
      </c>
      <c r="Q6" s="59">
        <f t="shared" ref="Q6:Q37" si="2">P6/COIN1_HITS</f>
        <v>5.9744071334421174E-5</v>
      </c>
      <c r="R6" s="58">
        <f t="shared" ref="R6:R37" si="3">IF(P6=0,0,CYCLE/P6)</f>
        <v>131072</v>
      </c>
      <c r="S6" s="58">
        <f>IF(P6=0,0,CYCLE/SUM($P$6:P6))</f>
        <v>131072</v>
      </c>
      <c r="T6" s="59">
        <f t="shared" ref="T6:T37" si="4">P6/CYCLE</f>
        <v>7.62939453125E-6</v>
      </c>
      <c r="U6" s="58">
        <f t="shared" ref="U6:U37" si="5">H6*P6</f>
        <v>64000</v>
      </c>
      <c r="V6" s="60">
        <f t="shared" ref="V6:V37" si="6">U6/COIN1_COUT</f>
        <v>3.4700195730791542E-2</v>
      </c>
      <c r="X6" s="57">
        <f t="shared" ref="X6:X48" si="7">PRODUCT(VLOOKUP($C6,SYMBOL_FACTORS,(COLUMN()-14)*3/10+1+1,FALSE),VLOOKUP($D6,SYMBOL_FACTORS,(COLUMN()-14)*3/10+1+2,FALSE),VLOOKUP($E6,SYMBOL_FACTORS,(COLUMN()-14)*3/10+1+3,FALSE))</f>
        <v>16</v>
      </c>
      <c r="Y6" s="58"/>
      <c r="Z6" s="58">
        <f t="shared" ref="Z6:Z37" si="8">IF(I6="",0,X6-Y6)</f>
        <v>16</v>
      </c>
      <c r="AA6" s="59">
        <f t="shared" ref="AA6:AA37" si="9">Z6/COIN2_HITS</f>
        <v>5.9436909577886498E-5</v>
      </c>
      <c r="AB6" s="58">
        <f t="shared" ref="AB6:AB37" si="10">IF(Z6=0,0,CYCLE/Z6)</f>
        <v>131072</v>
      </c>
      <c r="AC6" s="58">
        <f>IF(Z6=0,0,CYCLE/SUM($Z$6:Z6))</f>
        <v>131072</v>
      </c>
      <c r="AD6" s="59">
        <f t="shared" ref="AD6:AD37" si="11">Z6/CYCLE</f>
        <v>7.62939453125E-6</v>
      </c>
      <c r="AE6" s="58">
        <f t="shared" ref="AE6:AE37" si="12">I6*Z6</f>
        <v>128000</v>
      </c>
      <c r="AF6" s="60">
        <f t="shared" ref="AF6:AF37" si="13">AE6/COIN2_COUT</f>
        <v>3.3982036246089413E-2</v>
      </c>
      <c r="AH6" s="57">
        <f t="shared" ref="AH6:AH48" si="14">PRODUCT(VLOOKUP($C6,SYMBOL_FACTORS,(COLUMN()-14)*3/10+1+1,FALSE),VLOOKUP($D6,SYMBOL_FACTORS,(COLUMN()-14)*3/10+1+2,FALSE),VLOOKUP($E6,SYMBOL_FACTORS,(COLUMN()-14)*3/10+1+3,FALSE))</f>
        <v>16</v>
      </c>
      <c r="AI6" s="58"/>
      <c r="AJ6" s="58">
        <f t="shared" ref="AJ6:AJ37" si="15">IF(J6="",0,AH6-AI6)</f>
        <v>16</v>
      </c>
      <c r="AK6" s="59">
        <f t="shared" ref="AK6:AK37" si="16">AJ6/COIN3_HITS</f>
        <v>5.6010445948169336E-5</v>
      </c>
      <c r="AL6" s="58">
        <f t="shared" ref="AL6:AL37" si="17">IF(AJ6=0,0,CYCLE/AJ6)</f>
        <v>131072</v>
      </c>
      <c r="AM6" s="58">
        <f>IF(AJ6=0,0,CYCLE/SUM($AJ$6:AJ6))</f>
        <v>131072</v>
      </c>
      <c r="AN6" s="59">
        <f t="shared" ref="AN6:AN37" si="18">AJ6/CYCLE</f>
        <v>7.62939453125E-6</v>
      </c>
      <c r="AO6" s="58">
        <f t="shared" ref="AO6:AO37" si="19">J6*AJ6</f>
        <v>192000</v>
      </c>
      <c r="AP6" s="60">
        <f t="shared" ref="AP6:AP37" si="20">AO6/COIN3_COUT</f>
        <v>3.3292342137077061E-2</v>
      </c>
      <c r="AR6" s="57">
        <f t="shared" ref="AR6:AR48" si="21">PRODUCT(VLOOKUP($C6,SYMBOL_FACTORS,(COLUMN()-14)*3/10+1+1,FALSE),VLOOKUP($D6,SYMBOL_FACTORS,(COLUMN()-14)*3/10+1+2,FALSE),VLOOKUP($E6,SYMBOL_FACTORS,(COLUMN()-14)*3/10+1+3,FALSE))</f>
        <v>16</v>
      </c>
      <c r="AS6" s="58"/>
      <c r="AT6" s="58">
        <f t="shared" ref="AT6:AT37" si="22">IF(K6="",0,AR6-AS6)</f>
        <v>16</v>
      </c>
      <c r="AU6" s="59">
        <f t="shared" ref="AU6:AU37" si="23">AT6/COIN4_HITS</f>
        <v>5.2522215255733949E-5</v>
      </c>
      <c r="AV6" s="58">
        <f t="shared" ref="AV6:AV37" si="24">IF(AT6=0,0,CYCLE/AT6)</f>
        <v>131072</v>
      </c>
      <c r="AW6" s="58">
        <f>IF(AT6=0,0,CYCLE/SUM($AT$6:AT6))</f>
        <v>131072</v>
      </c>
      <c r="AX6" s="59">
        <f t="shared" ref="AX6:AX37" si="25">AT6/CYCLE</f>
        <v>7.62939453125E-6</v>
      </c>
      <c r="AY6" s="58">
        <f t="shared" ref="AY6:AY37" si="26">K6*AT6</f>
        <v>256000</v>
      </c>
      <c r="AZ6" s="60">
        <f t="shared" ref="AZ6:AZ37" si="27">AY6/COIN4_COUT</f>
        <v>3.2696200190659719E-2</v>
      </c>
      <c r="BB6" s="57">
        <f t="shared" ref="BB6:BB48" si="28">PRODUCT(VLOOKUP($C6,SYMBOL_FACTORS,(COLUMN()-14)*3/10+1+1,FALSE),VLOOKUP($D6,SYMBOL_FACTORS,(COLUMN()-14)*3/10+1+2,FALSE),VLOOKUP($E6,SYMBOL_FACTORS,(COLUMN()-14)*3/10+1+3,FALSE))</f>
        <v>16</v>
      </c>
      <c r="BC6" s="58"/>
      <c r="BD6" s="58">
        <f t="shared" ref="BD6:BD37" si="29">IF(L6="",0,BB6-BC6)</f>
        <v>16</v>
      </c>
      <c r="BE6" s="59">
        <f t="shared" ref="BE6:BE37" si="30">BD6/COIN5_HITS</f>
        <v>5.0057722811617145E-5</v>
      </c>
      <c r="BF6" s="58">
        <f t="shared" ref="BF6:BF37" si="31">IF(BD6=0,0,CYCLE/BD6)</f>
        <v>131072</v>
      </c>
      <c r="BG6" s="58">
        <f>IF(BD6=0,0,CYCLE/SUM($BD$6:BD6))</f>
        <v>131072</v>
      </c>
      <c r="BH6" s="59">
        <f t="shared" ref="BH6:BH37" si="32">BD6/CYCLE</f>
        <v>7.62939453125E-6</v>
      </c>
      <c r="BI6" s="58">
        <f t="shared" ref="BI6:BI37" si="33">L6*BD6</f>
        <v>320000</v>
      </c>
      <c r="BJ6" s="60">
        <f t="shared" ref="BJ6:BJ37" si="34">BI6/COIN5_COUT</f>
        <v>3.1998688053789796E-2</v>
      </c>
    </row>
    <row r="7" spans="2:62" x14ac:dyDescent="0.2">
      <c r="B7" s="44" t="s">
        <v>169</v>
      </c>
      <c r="C7" s="33" t="s">
        <v>36</v>
      </c>
      <c r="D7" s="33" t="s">
        <v>36</v>
      </c>
      <c r="E7" s="33" t="s">
        <v>36</v>
      </c>
      <c r="F7" s="120"/>
      <c r="H7" s="48">
        <v>1200</v>
      </c>
      <c r="I7" s="49">
        <v>2400</v>
      </c>
      <c r="J7" s="49">
        <v>3600</v>
      </c>
      <c r="K7" s="49">
        <v>4800</v>
      </c>
      <c r="L7" s="50">
        <v>6000</v>
      </c>
      <c r="N7" s="57">
        <f t="shared" si="0"/>
        <v>24</v>
      </c>
      <c r="O7" s="58"/>
      <c r="P7" s="58">
        <f t="shared" si="1"/>
        <v>24</v>
      </c>
      <c r="Q7" s="59">
        <f t="shared" si="2"/>
        <v>8.9616107001631761E-5</v>
      </c>
      <c r="R7" s="58">
        <f t="shared" si="3"/>
        <v>87381.333333333328</v>
      </c>
      <c r="S7" s="58">
        <f>IF(P7=0,0,CYCLE/SUM($P$6:P7))</f>
        <v>52428.800000000003</v>
      </c>
      <c r="T7" s="59">
        <f t="shared" si="4"/>
        <v>1.1444091796875E-5</v>
      </c>
      <c r="U7" s="58">
        <f t="shared" si="5"/>
        <v>28800</v>
      </c>
      <c r="V7" s="60">
        <f t="shared" si="6"/>
        <v>1.5615088078856195E-2</v>
      </c>
      <c r="X7" s="57">
        <f t="shared" si="7"/>
        <v>24</v>
      </c>
      <c r="Y7" s="58"/>
      <c r="Z7" s="58">
        <f t="shared" si="8"/>
        <v>24</v>
      </c>
      <c r="AA7" s="59">
        <f t="shared" si="9"/>
        <v>8.9155364366829741E-5</v>
      </c>
      <c r="AB7" s="58">
        <f t="shared" si="10"/>
        <v>87381.333333333328</v>
      </c>
      <c r="AC7" s="58">
        <f>IF(Z7=0,0,CYCLE/SUM($Z$6:Z7))</f>
        <v>52428.800000000003</v>
      </c>
      <c r="AD7" s="59">
        <f t="shared" si="11"/>
        <v>1.1444091796875E-5</v>
      </c>
      <c r="AE7" s="58">
        <f t="shared" si="12"/>
        <v>57600</v>
      </c>
      <c r="AF7" s="60">
        <f t="shared" si="13"/>
        <v>1.5291916310740235E-2</v>
      </c>
      <c r="AH7" s="57">
        <f t="shared" si="14"/>
        <v>24</v>
      </c>
      <c r="AI7" s="58"/>
      <c r="AJ7" s="58">
        <f t="shared" si="15"/>
        <v>24</v>
      </c>
      <c r="AK7" s="59">
        <f t="shared" si="16"/>
        <v>8.4015668922254001E-5</v>
      </c>
      <c r="AL7" s="58">
        <f t="shared" si="17"/>
        <v>87381.333333333328</v>
      </c>
      <c r="AM7" s="58">
        <f>IF(AJ7=0,0,CYCLE/SUM($AJ$6:AJ7))</f>
        <v>52428.800000000003</v>
      </c>
      <c r="AN7" s="59">
        <f t="shared" si="18"/>
        <v>1.1444091796875E-5</v>
      </c>
      <c r="AO7" s="58">
        <f t="shared" si="19"/>
        <v>86400</v>
      </c>
      <c r="AP7" s="60">
        <f t="shared" si="20"/>
        <v>1.4981553961684676E-2</v>
      </c>
      <c r="AR7" s="57">
        <f t="shared" si="21"/>
        <v>24</v>
      </c>
      <c r="AS7" s="58"/>
      <c r="AT7" s="58">
        <f t="shared" si="22"/>
        <v>24</v>
      </c>
      <c r="AU7" s="59">
        <f t="shared" si="23"/>
        <v>7.8783322883600927E-5</v>
      </c>
      <c r="AV7" s="58">
        <f t="shared" si="24"/>
        <v>87381.333333333328</v>
      </c>
      <c r="AW7" s="58">
        <f>IF(AT7=0,0,CYCLE/SUM($AT$6:AT7))</f>
        <v>52428.800000000003</v>
      </c>
      <c r="AX7" s="59">
        <f t="shared" si="25"/>
        <v>1.1444091796875E-5</v>
      </c>
      <c r="AY7" s="58">
        <f t="shared" si="26"/>
        <v>115200</v>
      </c>
      <c r="AZ7" s="60">
        <f t="shared" si="27"/>
        <v>1.4713290085796873E-2</v>
      </c>
      <c r="BB7" s="57">
        <f t="shared" si="28"/>
        <v>24</v>
      </c>
      <c r="BC7" s="58"/>
      <c r="BD7" s="58">
        <f t="shared" si="29"/>
        <v>24</v>
      </c>
      <c r="BE7" s="59">
        <f t="shared" si="30"/>
        <v>7.5086584217425717E-5</v>
      </c>
      <c r="BF7" s="58">
        <f t="shared" si="31"/>
        <v>87381.333333333328</v>
      </c>
      <c r="BG7" s="58">
        <f>IF(BD7=0,0,CYCLE/SUM($BD$6:BD7))</f>
        <v>52428.800000000003</v>
      </c>
      <c r="BH7" s="59">
        <f t="shared" si="32"/>
        <v>1.1444091796875E-5</v>
      </c>
      <c r="BI7" s="58">
        <f t="shared" si="33"/>
        <v>144000</v>
      </c>
      <c r="BJ7" s="60">
        <f t="shared" si="34"/>
        <v>1.4399409624205408E-2</v>
      </c>
    </row>
    <row r="8" spans="2:62" x14ac:dyDescent="0.2">
      <c r="B8" s="44" t="s">
        <v>170</v>
      </c>
      <c r="C8" s="33" t="s">
        <v>37</v>
      </c>
      <c r="D8" s="33" t="s">
        <v>37</v>
      </c>
      <c r="E8" s="33" t="s">
        <v>37</v>
      </c>
      <c r="F8" s="120"/>
      <c r="H8" s="48">
        <v>900</v>
      </c>
      <c r="I8" s="49">
        <v>1800</v>
      </c>
      <c r="J8" s="49">
        <v>2700</v>
      </c>
      <c r="K8" s="49">
        <v>3600</v>
      </c>
      <c r="L8" s="50">
        <v>4500</v>
      </c>
      <c r="N8" s="57">
        <f t="shared" si="0"/>
        <v>32</v>
      </c>
      <c r="O8" s="58"/>
      <c r="P8" s="58">
        <f t="shared" si="1"/>
        <v>32</v>
      </c>
      <c r="Q8" s="59">
        <f t="shared" si="2"/>
        <v>1.1948814266884235E-4</v>
      </c>
      <c r="R8" s="58">
        <f t="shared" si="3"/>
        <v>65536</v>
      </c>
      <c r="S8" s="58">
        <f>IF(P8=0,0,CYCLE/SUM($P$6:P8))</f>
        <v>29127.111111111109</v>
      </c>
      <c r="T8" s="59">
        <f t="shared" si="4"/>
        <v>1.52587890625E-5</v>
      </c>
      <c r="U8" s="58">
        <f t="shared" si="5"/>
        <v>28800</v>
      </c>
      <c r="V8" s="60">
        <f t="shared" si="6"/>
        <v>1.5615088078856195E-2</v>
      </c>
      <c r="X8" s="57">
        <f t="shared" si="7"/>
        <v>48</v>
      </c>
      <c r="Y8" s="58"/>
      <c r="Z8" s="58">
        <f t="shared" si="8"/>
        <v>48</v>
      </c>
      <c r="AA8" s="59">
        <f t="shared" si="9"/>
        <v>1.7831072873365948E-4</v>
      </c>
      <c r="AB8" s="58">
        <f t="shared" si="10"/>
        <v>43690.666666666664</v>
      </c>
      <c r="AC8" s="58">
        <f>IF(Z8=0,0,CYCLE/SUM($Z$6:Z8))</f>
        <v>23831.272727272728</v>
      </c>
      <c r="AD8" s="59">
        <f t="shared" si="11"/>
        <v>2.288818359375E-5</v>
      </c>
      <c r="AE8" s="58">
        <f t="shared" si="12"/>
        <v>86400</v>
      </c>
      <c r="AF8" s="60">
        <f t="shared" si="13"/>
        <v>2.2937874466110352E-2</v>
      </c>
      <c r="AH8" s="57">
        <f t="shared" si="14"/>
        <v>48</v>
      </c>
      <c r="AI8" s="58"/>
      <c r="AJ8" s="58">
        <f t="shared" si="15"/>
        <v>48</v>
      </c>
      <c r="AK8" s="59">
        <f t="shared" si="16"/>
        <v>1.68031337844508E-4</v>
      </c>
      <c r="AL8" s="58">
        <f t="shared" si="17"/>
        <v>43690.666666666664</v>
      </c>
      <c r="AM8" s="58">
        <f>IF(AJ8=0,0,CYCLE/SUM($AJ$6:AJ8))</f>
        <v>23831.272727272728</v>
      </c>
      <c r="AN8" s="59">
        <f t="shared" si="18"/>
        <v>2.288818359375E-5</v>
      </c>
      <c r="AO8" s="58">
        <f t="shared" si="19"/>
        <v>129600</v>
      </c>
      <c r="AP8" s="60">
        <f t="shared" si="20"/>
        <v>2.2472330942527013E-2</v>
      </c>
      <c r="AR8" s="57">
        <f t="shared" si="21"/>
        <v>48</v>
      </c>
      <c r="AS8" s="58"/>
      <c r="AT8" s="58">
        <f t="shared" si="22"/>
        <v>48</v>
      </c>
      <c r="AU8" s="59">
        <f t="shared" si="23"/>
        <v>1.5756664576720185E-4</v>
      </c>
      <c r="AV8" s="58">
        <f t="shared" si="24"/>
        <v>43690.666666666664</v>
      </c>
      <c r="AW8" s="58">
        <f>IF(AT8=0,0,CYCLE/SUM($AT$6:AT8))</f>
        <v>23831.272727272728</v>
      </c>
      <c r="AX8" s="59">
        <f t="shared" si="25"/>
        <v>2.288818359375E-5</v>
      </c>
      <c r="AY8" s="58">
        <f t="shared" si="26"/>
        <v>172800</v>
      </c>
      <c r="AZ8" s="60">
        <f t="shared" si="27"/>
        <v>2.206993512869531E-2</v>
      </c>
      <c r="BB8" s="57">
        <f t="shared" si="28"/>
        <v>48</v>
      </c>
      <c r="BC8" s="58"/>
      <c r="BD8" s="58">
        <f t="shared" si="29"/>
        <v>48</v>
      </c>
      <c r="BE8" s="59">
        <f t="shared" si="30"/>
        <v>1.5017316843485143E-4</v>
      </c>
      <c r="BF8" s="58">
        <f t="shared" si="31"/>
        <v>43690.666666666664</v>
      </c>
      <c r="BG8" s="58">
        <f>IF(BD8=0,0,CYCLE/SUM($BD$6:BD8))</f>
        <v>23831.272727272728</v>
      </c>
      <c r="BH8" s="59">
        <f t="shared" si="32"/>
        <v>2.288818359375E-5</v>
      </c>
      <c r="BI8" s="58">
        <f t="shared" si="33"/>
        <v>216000</v>
      </c>
      <c r="BJ8" s="60">
        <f t="shared" si="34"/>
        <v>2.159911443630811E-2</v>
      </c>
    </row>
    <row r="9" spans="2:62" x14ac:dyDescent="0.2">
      <c r="B9" s="44" t="s">
        <v>171</v>
      </c>
      <c r="C9" s="33" t="s">
        <v>38</v>
      </c>
      <c r="D9" s="33" t="s">
        <v>38</v>
      </c>
      <c r="E9" s="33" t="s">
        <v>38</v>
      </c>
      <c r="F9" s="120"/>
      <c r="H9" s="48">
        <v>600</v>
      </c>
      <c r="I9" s="49">
        <v>1200</v>
      </c>
      <c r="J9" s="49">
        <v>1800</v>
      </c>
      <c r="K9" s="49">
        <v>2400</v>
      </c>
      <c r="L9" s="50">
        <v>3000</v>
      </c>
      <c r="N9" s="57">
        <f t="shared" si="0"/>
        <v>48</v>
      </c>
      <c r="O9" s="58"/>
      <c r="P9" s="58">
        <f t="shared" si="1"/>
        <v>48</v>
      </c>
      <c r="Q9" s="59">
        <f t="shared" si="2"/>
        <v>1.7923221400326352E-4</v>
      </c>
      <c r="R9" s="58">
        <f t="shared" si="3"/>
        <v>43690.666666666664</v>
      </c>
      <c r="S9" s="58">
        <f>IF(P9=0,0,CYCLE/SUM($P$6:P9))</f>
        <v>17476.266666666666</v>
      </c>
      <c r="T9" s="59">
        <f t="shared" si="4"/>
        <v>2.288818359375E-5</v>
      </c>
      <c r="U9" s="58">
        <f t="shared" si="5"/>
        <v>28800</v>
      </c>
      <c r="V9" s="60">
        <f t="shared" si="6"/>
        <v>1.5615088078856195E-2</v>
      </c>
      <c r="X9" s="57">
        <f t="shared" si="7"/>
        <v>40</v>
      </c>
      <c r="Y9" s="58"/>
      <c r="Z9" s="58">
        <f t="shared" si="8"/>
        <v>40</v>
      </c>
      <c r="AA9" s="59">
        <f t="shared" si="9"/>
        <v>1.4859227394471624E-4</v>
      </c>
      <c r="AB9" s="58">
        <f t="shared" si="10"/>
        <v>52428.800000000003</v>
      </c>
      <c r="AC9" s="58">
        <f>IF(Z9=0,0,CYCLE/SUM($Z$6:Z9))</f>
        <v>16384</v>
      </c>
      <c r="AD9" s="59">
        <f t="shared" si="11"/>
        <v>1.9073486328125E-5</v>
      </c>
      <c r="AE9" s="58">
        <f t="shared" si="12"/>
        <v>48000</v>
      </c>
      <c r="AF9" s="60">
        <f t="shared" si="13"/>
        <v>1.2743263592283529E-2</v>
      </c>
      <c r="AH9" s="57">
        <f t="shared" si="14"/>
        <v>48</v>
      </c>
      <c r="AI9" s="58"/>
      <c r="AJ9" s="58">
        <f t="shared" si="15"/>
        <v>48</v>
      </c>
      <c r="AK9" s="59">
        <f t="shared" si="16"/>
        <v>1.68031337844508E-4</v>
      </c>
      <c r="AL9" s="58">
        <f t="shared" si="17"/>
        <v>43690.666666666664</v>
      </c>
      <c r="AM9" s="58">
        <f>IF(AJ9=0,0,CYCLE/SUM($AJ$6:AJ9))</f>
        <v>15420.235294117647</v>
      </c>
      <c r="AN9" s="59">
        <f t="shared" si="18"/>
        <v>2.288818359375E-5</v>
      </c>
      <c r="AO9" s="58">
        <f t="shared" si="19"/>
        <v>86400</v>
      </c>
      <c r="AP9" s="60">
        <f t="shared" si="20"/>
        <v>1.4981553961684676E-2</v>
      </c>
      <c r="AR9" s="57">
        <f t="shared" si="21"/>
        <v>64</v>
      </c>
      <c r="AS9" s="58"/>
      <c r="AT9" s="58">
        <f t="shared" si="22"/>
        <v>64</v>
      </c>
      <c r="AU9" s="59">
        <f t="shared" si="23"/>
        <v>2.100888610229358E-4</v>
      </c>
      <c r="AV9" s="58">
        <f t="shared" si="24"/>
        <v>32768</v>
      </c>
      <c r="AW9" s="58">
        <f>IF(AT9=0,0,CYCLE/SUM($AT$6:AT9))</f>
        <v>13797.052631578947</v>
      </c>
      <c r="AX9" s="59">
        <f t="shared" si="25"/>
        <v>3.0517578125E-5</v>
      </c>
      <c r="AY9" s="58">
        <f t="shared" si="26"/>
        <v>153600</v>
      </c>
      <c r="AZ9" s="60">
        <f t="shared" si="27"/>
        <v>1.9617720114395831E-2</v>
      </c>
      <c r="BB9" s="57">
        <f t="shared" si="28"/>
        <v>64</v>
      </c>
      <c r="BC9" s="58"/>
      <c r="BD9" s="58">
        <f t="shared" si="29"/>
        <v>64</v>
      </c>
      <c r="BE9" s="59">
        <f t="shared" si="30"/>
        <v>2.0023089124646858E-4</v>
      </c>
      <c r="BF9" s="58">
        <f t="shared" si="31"/>
        <v>32768</v>
      </c>
      <c r="BG9" s="58">
        <f>IF(BD9=0,0,CYCLE/SUM($BD$6:BD9))</f>
        <v>13797.052631578947</v>
      </c>
      <c r="BH9" s="59">
        <f t="shared" si="32"/>
        <v>3.0517578125E-5</v>
      </c>
      <c r="BI9" s="58">
        <f t="shared" si="33"/>
        <v>192000</v>
      </c>
      <c r="BJ9" s="60">
        <f t="shared" si="34"/>
        <v>1.9199212832273875E-2</v>
      </c>
    </row>
    <row r="10" spans="2:62" x14ac:dyDescent="0.2">
      <c r="B10" s="44" t="s">
        <v>172</v>
      </c>
      <c r="C10" s="33" t="s">
        <v>47</v>
      </c>
      <c r="D10" s="33" t="s">
        <v>47</v>
      </c>
      <c r="E10" s="33" t="s">
        <v>47</v>
      </c>
      <c r="F10" s="120"/>
      <c r="H10" s="48">
        <v>500</v>
      </c>
      <c r="I10" s="49">
        <v>1000</v>
      </c>
      <c r="J10" s="49">
        <v>1500</v>
      </c>
      <c r="K10" s="49">
        <v>2000</v>
      </c>
      <c r="L10" s="50">
        <v>2500</v>
      </c>
      <c r="N10" s="57">
        <f t="shared" si="0"/>
        <v>80</v>
      </c>
      <c r="O10" s="58"/>
      <c r="P10" s="58">
        <f t="shared" si="1"/>
        <v>80</v>
      </c>
      <c r="Q10" s="59">
        <f t="shared" si="2"/>
        <v>2.9872035667210584E-4</v>
      </c>
      <c r="R10" s="58">
        <f t="shared" si="3"/>
        <v>26214.400000000001</v>
      </c>
      <c r="S10" s="58">
        <f>IF(P10=0,0,CYCLE/SUM($P$6:P10))</f>
        <v>10485.76</v>
      </c>
      <c r="T10" s="59">
        <f t="shared" si="4"/>
        <v>3.814697265625E-5</v>
      </c>
      <c r="U10" s="58">
        <f t="shared" si="5"/>
        <v>40000</v>
      </c>
      <c r="V10" s="60">
        <f t="shared" si="6"/>
        <v>2.1687622331744715E-2</v>
      </c>
      <c r="X10" s="57">
        <f t="shared" si="7"/>
        <v>80</v>
      </c>
      <c r="Y10" s="58"/>
      <c r="Z10" s="58">
        <f t="shared" si="8"/>
        <v>80</v>
      </c>
      <c r="AA10" s="59">
        <f t="shared" si="9"/>
        <v>2.9718454788943248E-4</v>
      </c>
      <c r="AB10" s="58">
        <f t="shared" si="10"/>
        <v>26214.400000000001</v>
      </c>
      <c r="AC10" s="58">
        <f>IF(Z10=0,0,CYCLE/SUM($Z$6:Z10))</f>
        <v>10082.461538461539</v>
      </c>
      <c r="AD10" s="59">
        <f t="shared" si="11"/>
        <v>3.814697265625E-5</v>
      </c>
      <c r="AE10" s="58">
        <f t="shared" si="12"/>
        <v>80000</v>
      </c>
      <c r="AF10" s="60">
        <f t="shared" si="13"/>
        <v>2.123877265380588E-2</v>
      </c>
      <c r="AH10" s="57">
        <f t="shared" si="14"/>
        <v>80</v>
      </c>
      <c r="AI10" s="58"/>
      <c r="AJ10" s="58">
        <f t="shared" si="15"/>
        <v>80</v>
      </c>
      <c r="AK10" s="59">
        <f t="shared" si="16"/>
        <v>2.8005222974084666E-4</v>
      </c>
      <c r="AL10" s="58">
        <f t="shared" si="17"/>
        <v>26214.400000000001</v>
      </c>
      <c r="AM10" s="58">
        <f>IF(AJ10=0,0,CYCLE/SUM($AJ$6:AJ10))</f>
        <v>9709.0370370370365</v>
      </c>
      <c r="AN10" s="59">
        <f t="shared" si="18"/>
        <v>3.814697265625E-5</v>
      </c>
      <c r="AO10" s="58">
        <f t="shared" si="19"/>
        <v>120000</v>
      </c>
      <c r="AP10" s="60">
        <f t="shared" si="20"/>
        <v>2.0807713835673161E-2</v>
      </c>
      <c r="AR10" s="57">
        <f t="shared" si="21"/>
        <v>48</v>
      </c>
      <c r="AS10" s="58"/>
      <c r="AT10" s="58">
        <f t="shared" si="22"/>
        <v>48</v>
      </c>
      <c r="AU10" s="59">
        <f t="shared" si="23"/>
        <v>1.5756664576720185E-4</v>
      </c>
      <c r="AV10" s="58">
        <f t="shared" si="24"/>
        <v>43690.666666666664</v>
      </c>
      <c r="AW10" s="58">
        <f>IF(AT10=0,0,CYCLE/SUM($AT$6:AT10))</f>
        <v>10485.76</v>
      </c>
      <c r="AX10" s="59">
        <f t="shared" si="25"/>
        <v>2.288818359375E-5</v>
      </c>
      <c r="AY10" s="58">
        <f t="shared" si="26"/>
        <v>96000</v>
      </c>
      <c r="AZ10" s="60">
        <f t="shared" si="27"/>
        <v>1.2261075071497395E-2</v>
      </c>
      <c r="BB10" s="57">
        <f t="shared" si="28"/>
        <v>48</v>
      </c>
      <c r="BC10" s="58"/>
      <c r="BD10" s="58">
        <f t="shared" si="29"/>
        <v>48</v>
      </c>
      <c r="BE10" s="59">
        <f t="shared" si="30"/>
        <v>1.5017316843485143E-4</v>
      </c>
      <c r="BF10" s="58">
        <f t="shared" si="31"/>
        <v>43690.666666666664</v>
      </c>
      <c r="BG10" s="58">
        <f>IF(BD10=0,0,CYCLE/SUM($BD$6:BD10))</f>
        <v>10485.76</v>
      </c>
      <c r="BH10" s="59">
        <f t="shared" si="32"/>
        <v>2.288818359375E-5</v>
      </c>
      <c r="BI10" s="58">
        <f t="shared" si="33"/>
        <v>120000</v>
      </c>
      <c r="BJ10" s="60">
        <f t="shared" si="34"/>
        <v>1.1999508020171173E-2</v>
      </c>
    </row>
    <row r="11" spans="2:62" x14ac:dyDescent="0.2">
      <c r="B11" s="44" t="s">
        <v>173</v>
      </c>
      <c r="C11" s="33" t="s">
        <v>137</v>
      </c>
      <c r="D11" s="33" t="s">
        <v>137</v>
      </c>
      <c r="E11" s="33" t="s">
        <v>137</v>
      </c>
      <c r="F11" s="120"/>
      <c r="H11" s="48">
        <v>400</v>
      </c>
      <c r="I11" s="49">
        <v>800</v>
      </c>
      <c r="J11" s="49">
        <v>1200</v>
      </c>
      <c r="K11" s="49">
        <v>1600</v>
      </c>
      <c r="L11" s="50">
        <v>2000</v>
      </c>
      <c r="N11" s="57">
        <f t="shared" si="0"/>
        <v>125</v>
      </c>
      <c r="O11" s="58"/>
      <c r="P11" s="58">
        <f t="shared" si="1"/>
        <v>125</v>
      </c>
      <c r="Q11" s="59">
        <f t="shared" si="2"/>
        <v>4.6675055730016542E-4</v>
      </c>
      <c r="R11" s="58">
        <f t="shared" si="3"/>
        <v>16777.216</v>
      </c>
      <c r="S11" s="58">
        <f>IF(P11=0,0,CYCLE/SUM($P$6:P11))</f>
        <v>6452.7753846153846</v>
      </c>
      <c r="T11" s="59">
        <f t="shared" si="4"/>
        <v>5.9604644775390625E-5</v>
      </c>
      <c r="U11" s="58">
        <f t="shared" si="5"/>
        <v>50000</v>
      </c>
      <c r="V11" s="60">
        <f t="shared" si="6"/>
        <v>2.7109527914680895E-2</v>
      </c>
      <c r="X11" s="57">
        <f t="shared" si="7"/>
        <v>125</v>
      </c>
      <c r="Y11" s="58"/>
      <c r="Z11" s="58">
        <f t="shared" si="8"/>
        <v>125</v>
      </c>
      <c r="AA11" s="59">
        <f t="shared" si="9"/>
        <v>4.6435085607723827E-4</v>
      </c>
      <c r="AB11" s="58">
        <f t="shared" si="10"/>
        <v>16777.216</v>
      </c>
      <c r="AC11" s="58">
        <f>IF(Z11=0,0,CYCLE/SUM($Z$6:Z11))</f>
        <v>6297.7537537537537</v>
      </c>
      <c r="AD11" s="59">
        <f t="shared" si="11"/>
        <v>5.9604644775390625E-5</v>
      </c>
      <c r="AE11" s="58">
        <f t="shared" si="12"/>
        <v>100000</v>
      </c>
      <c r="AF11" s="60">
        <f t="shared" si="13"/>
        <v>2.6548465817257352E-2</v>
      </c>
      <c r="AH11" s="57">
        <f t="shared" si="14"/>
        <v>125</v>
      </c>
      <c r="AI11" s="58"/>
      <c r="AJ11" s="58">
        <f t="shared" si="15"/>
        <v>125</v>
      </c>
      <c r="AK11" s="59">
        <f t="shared" si="16"/>
        <v>4.3758160897007292E-4</v>
      </c>
      <c r="AL11" s="58">
        <f t="shared" si="17"/>
        <v>16777.216</v>
      </c>
      <c r="AM11" s="58">
        <f>IF(AJ11=0,0,CYCLE/SUM($AJ$6:AJ11))</f>
        <v>6150.0058651026393</v>
      </c>
      <c r="AN11" s="59">
        <f t="shared" si="18"/>
        <v>5.9604644775390625E-5</v>
      </c>
      <c r="AO11" s="58">
        <f t="shared" si="19"/>
        <v>150000</v>
      </c>
      <c r="AP11" s="60">
        <f t="shared" si="20"/>
        <v>2.6009642294591451E-2</v>
      </c>
      <c r="AR11" s="57">
        <f t="shared" si="21"/>
        <v>125</v>
      </c>
      <c r="AS11" s="58"/>
      <c r="AT11" s="58">
        <f t="shared" si="22"/>
        <v>125</v>
      </c>
      <c r="AU11" s="59">
        <f t="shared" si="23"/>
        <v>4.103298066854215E-4</v>
      </c>
      <c r="AV11" s="58">
        <f t="shared" si="24"/>
        <v>16777.216</v>
      </c>
      <c r="AW11" s="58">
        <f>IF(AT11=0,0,CYCLE/SUM($AT$6:AT11))</f>
        <v>6452.7753846153846</v>
      </c>
      <c r="AX11" s="59">
        <f t="shared" si="25"/>
        <v>5.9604644775390625E-5</v>
      </c>
      <c r="AY11" s="58">
        <f t="shared" si="26"/>
        <v>200000</v>
      </c>
      <c r="AZ11" s="60">
        <f t="shared" si="27"/>
        <v>2.5543906398952904E-2</v>
      </c>
      <c r="BB11" s="57">
        <f t="shared" si="28"/>
        <v>125</v>
      </c>
      <c r="BC11" s="58"/>
      <c r="BD11" s="58">
        <f t="shared" si="29"/>
        <v>125</v>
      </c>
      <c r="BE11" s="59">
        <f t="shared" si="30"/>
        <v>3.9107595946575896E-4</v>
      </c>
      <c r="BF11" s="58">
        <f t="shared" si="31"/>
        <v>16777.216</v>
      </c>
      <c r="BG11" s="58">
        <f>IF(BD11=0,0,CYCLE/SUM($BD$6:BD11))</f>
        <v>6452.7753846153846</v>
      </c>
      <c r="BH11" s="59">
        <f t="shared" si="32"/>
        <v>5.9604644775390625E-5</v>
      </c>
      <c r="BI11" s="58">
        <f t="shared" si="33"/>
        <v>250000</v>
      </c>
      <c r="BJ11" s="60">
        <f t="shared" si="34"/>
        <v>2.4998975042023277E-2</v>
      </c>
    </row>
    <row r="12" spans="2:62" x14ac:dyDescent="0.2">
      <c r="B12" s="44" t="s">
        <v>174</v>
      </c>
      <c r="C12" s="33" t="s">
        <v>32</v>
      </c>
      <c r="D12" s="33" t="s">
        <v>32</v>
      </c>
      <c r="E12" s="33" t="s">
        <v>32</v>
      </c>
      <c r="F12" s="120"/>
      <c r="H12" s="48">
        <v>200</v>
      </c>
      <c r="I12" s="49">
        <v>400</v>
      </c>
      <c r="J12" s="49">
        <v>600</v>
      </c>
      <c r="K12" s="49">
        <v>800</v>
      </c>
      <c r="L12" s="50">
        <v>1000</v>
      </c>
      <c r="N12" s="57">
        <f t="shared" si="0"/>
        <v>180</v>
      </c>
      <c r="O12" s="58"/>
      <c r="P12" s="58">
        <f t="shared" si="1"/>
        <v>180</v>
      </c>
      <c r="Q12" s="59">
        <f t="shared" si="2"/>
        <v>6.721208025122382E-4</v>
      </c>
      <c r="R12" s="58">
        <f t="shared" si="3"/>
        <v>11650.844444444445</v>
      </c>
      <c r="S12" s="58">
        <f>IF(P12=0,0,CYCLE/SUM($P$6:P12))</f>
        <v>4152.7762376237624</v>
      </c>
      <c r="T12" s="59">
        <f t="shared" si="4"/>
        <v>8.58306884765625E-5</v>
      </c>
      <c r="U12" s="58">
        <f t="shared" si="5"/>
        <v>36000</v>
      </c>
      <c r="V12" s="60">
        <f t="shared" si="6"/>
        <v>1.9518860098570245E-2</v>
      </c>
      <c r="X12" s="57">
        <f t="shared" si="7"/>
        <v>180</v>
      </c>
      <c r="Y12" s="58"/>
      <c r="Z12" s="58">
        <f t="shared" si="8"/>
        <v>180</v>
      </c>
      <c r="AA12" s="59">
        <f t="shared" si="9"/>
        <v>6.6866523275122306E-4</v>
      </c>
      <c r="AB12" s="58">
        <f t="shared" si="10"/>
        <v>11650.844444444445</v>
      </c>
      <c r="AC12" s="58">
        <f>IF(Z12=0,0,CYCLE/SUM($Z$6:Z12))</f>
        <v>4088.0155945419101</v>
      </c>
      <c r="AD12" s="59">
        <f t="shared" si="11"/>
        <v>8.58306884765625E-5</v>
      </c>
      <c r="AE12" s="58">
        <f t="shared" si="12"/>
        <v>72000</v>
      </c>
      <c r="AF12" s="60">
        <f t="shared" si="13"/>
        <v>1.9114895388425295E-2</v>
      </c>
      <c r="AH12" s="57">
        <f t="shared" si="14"/>
        <v>180</v>
      </c>
      <c r="AI12" s="58"/>
      <c r="AJ12" s="58">
        <f t="shared" si="15"/>
        <v>180</v>
      </c>
      <c r="AK12" s="59">
        <f t="shared" si="16"/>
        <v>6.3011751691690503E-4</v>
      </c>
      <c r="AL12" s="58">
        <f t="shared" si="17"/>
        <v>11650.844444444445</v>
      </c>
      <c r="AM12" s="58">
        <f>IF(AJ12=0,0,CYCLE/SUM($AJ$6:AJ12))</f>
        <v>4025.2437619961611</v>
      </c>
      <c r="AN12" s="59">
        <f t="shared" si="18"/>
        <v>8.58306884765625E-5</v>
      </c>
      <c r="AO12" s="58">
        <f t="shared" si="19"/>
        <v>108000</v>
      </c>
      <c r="AP12" s="60">
        <f t="shared" si="20"/>
        <v>1.8726942452105846E-2</v>
      </c>
      <c r="AR12" s="57">
        <f t="shared" si="21"/>
        <v>180</v>
      </c>
      <c r="AS12" s="58"/>
      <c r="AT12" s="58">
        <f t="shared" si="22"/>
        <v>180</v>
      </c>
      <c r="AU12" s="59">
        <f t="shared" si="23"/>
        <v>5.9087492162700694E-4</v>
      </c>
      <c r="AV12" s="58">
        <f t="shared" si="24"/>
        <v>11650.844444444445</v>
      </c>
      <c r="AW12" s="58">
        <f>IF(AT12=0,0,CYCLE/SUM($AT$6:AT12))</f>
        <v>4152.7762376237624</v>
      </c>
      <c r="AX12" s="59">
        <f t="shared" si="25"/>
        <v>8.58306884765625E-5</v>
      </c>
      <c r="AY12" s="58">
        <f t="shared" si="26"/>
        <v>144000</v>
      </c>
      <c r="AZ12" s="60">
        <f t="shared" si="27"/>
        <v>1.8391612607246092E-2</v>
      </c>
      <c r="BB12" s="57">
        <f t="shared" si="28"/>
        <v>180</v>
      </c>
      <c r="BC12" s="58"/>
      <c r="BD12" s="58">
        <f t="shared" si="29"/>
        <v>180</v>
      </c>
      <c r="BE12" s="59">
        <f t="shared" si="30"/>
        <v>5.6314938163069285E-4</v>
      </c>
      <c r="BF12" s="58">
        <f t="shared" si="31"/>
        <v>11650.844444444445</v>
      </c>
      <c r="BG12" s="58">
        <f>IF(BD12=0,0,CYCLE/SUM($BD$6:BD12))</f>
        <v>4152.7762376237624</v>
      </c>
      <c r="BH12" s="59">
        <f t="shared" si="32"/>
        <v>8.58306884765625E-5</v>
      </c>
      <c r="BI12" s="58">
        <f t="shared" si="33"/>
        <v>180000</v>
      </c>
      <c r="BJ12" s="60">
        <f t="shared" si="34"/>
        <v>1.7999262030256761E-2</v>
      </c>
    </row>
    <row r="13" spans="2:62" x14ac:dyDescent="0.2">
      <c r="B13" s="44" t="s">
        <v>175</v>
      </c>
      <c r="C13" s="33" t="s">
        <v>33</v>
      </c>
      <c r="D13" s="33" t="s">
        <v>33</v>
      </c>
      <c r="E13" s="33" t="s">
        <v>33</v>
      </c>
      <c r="F13" s="120"/>
      <c r="H13" s="48">
        <v>100</v>
      </c>
      <c r="I13" s="49">
        <v>200</v>
      </c>
      <c r="J13" s="49">
        <v>300</v>
      </c>
      <c r="K13" s="49">
        <v>400</v>
      </c>
      <c r="L13" s="50">
        <v>500</v>
      </c>
      <c r="N13" s="57">
        <f t="shared" si="0"/>
        <v>480</v>
      </c>
      <c r="O13" s="58"/>
      <c r="P13" s="58">
        <f t="shared" si="1"/>
        <v>480</v>
      </c>
      <c r="Q13" s="59">
        <f t="shared" si="2"/>
        <v>1.7923221400326353E-3</v>
      </c>
      <c r="R13" s="58">
        <f t="shared" si="3"/>
        <v>4369.0666666666666</v>
      </c>
      <c r="S13" s="58">
        <f>IF(P13=0,0,CYCLE/SUM($P$6:P13))</f>
        <v>2129.0883248730966</v>
      </c>
      <c r="T13" s="59">
        <f t="shared" si="4"/>
        <v>2.288818359375E-4</v>
      </c>
      <c r="U13" s="58">
        <f t="shared" si="5"/>
        <v>48000</v>
      </c>
      <c r="V13" s="60">
        <f t="shared" si="6"/>
        <v>2.602514679809366E-2</v>
      </c>
      <c r="X13" s="57">
        <f t="shared" si="7"/>
        <v>432</v>
      </c>
      <c r="Y13" s="58"/>
      <c r="Z13" s="58">
        <f t="shared" si="8"/>
        <v>432</v>
      </c>
      <c r="AA13" s="59">
        <f t="shared" si="9"/>
        <v>1.6047965586029355E-3</v>
      </c>
      <c r="AB13" s="58">
        <f t="shared" si="10"/>
        <v>4854.5185185185182</v>
      </c>
      <c r="AC13" s="58">
        <f>IF(Z13=0,0,CYCLE/SUM($Z$6:Z13))</f>
        <v>2219.2084656084658</v>
      </c>
      <c r="AD13" s="59">
        <f t="shared" si="11"/>
        <v>2.0599365234375E-4</v>
      </c>
      <c r="AE13" s="58">
        <f t="shared" si="12"/>
        <v>86400</v>
      </c>
      <c r="AF13" s="60">
        <f t="shared" si="13"/>
        <v>2.2937874466110352E-2</v>
      </c>
      <c r="AH13" s="57">
        <f t="shared" si="14"/>
        <v>432</v>
      </c>
      <c r="AI13" s="58"/>
      <c r="AJ13" s="58">
        <f t="shared" si="15"/>
        <v>432</v>
      </c>
      <c r="AK13" s="59">
        <f t="shared" si="16"/>
        <v>1.5122820406005719E-3</v>
      </c>
      <c r="AL13" s="58">
        <f t="shared" si="17"/>
        <v>4854.5185185185182</v>
      </c>
      <c r="AM13" s="58">
        <f>IF(AJ13=0,0,CYCLE/SUM($AJ$6:AJ13))</f>
        <v>2200.579223504722</v>
      </c>
      <c r="AN13" s="59">
        <f t="shared" si="18"/>
        <v>2.0599365234375E-4</v>
      </c>
      <c r="AO13" s="58">
        <f t="shared" si="19"/>
        <v>129600</v>
      </c>
      <c r="AP13" s="60">
        <f t="shared" si="20"/>
        <v>2.2472330942527013E-2</v>
      </c>
      <c r="AR13" s="57">
        <f t="shared" si="21"/>
        <v>432</v>
      </c>
      <c r="AS13" s="58"/>
      <c r="AT13" s="58">
        <f t="shared" si="22"/>
        <v>432</v>
      </c>
      <c r="AU13" s="59">
        <f t="shared" si="23"/>
        <v>1.4180998119048165E-3</v>
      </c>
      <c r="AV13" s="58">
        <f t="shared" si="24"/>
        <v>4854.5185185185182</v>
      </c>
      <c r="AW13" s="58">
        <f>IF(AT13=0,0,CYCLE/SUM($AT$6:AT13))</f>
        <v>2238.1558164354324</v>
      </c>
      <c r="AX13" s="59">
        <f t="shared" si="25"/>
        <v>2.0599365234375E-4</v>
      </c>
      <c r="AY13" s="58">
        <f t="shared" si="26"/>
        <v>172800</v>
      </c>
      <c r="AZ13" s="60">
        <f t="shared" si="27"/>
        <v>2.206993512869531E-2</v>
      </c>
      <c r="BB13" s="57">
        <f t="shared" si="28"/>
        <v>432</v>
      </c>
      <c r="BC13" s="58"/>
      <c r="BD13" s="58">
        <f t="shared" si="29"/>
        <v>432</v>
      </c>
      <c r="BE13" s="59">
        <f t="shared" si="30"/>
        <v>1.351558515913663E-3</v>
      </c>
      <c r="BF13" s="58">
        <f t="shared" si="31"/>
        <v>4854.5185185185182</v>
      </c>
      <c r="BG13" s="58">
        <f>IF(BD13=0,0,CYCLE/SUM($BD$6:BD13))</f>
        <v>2238.1558164354324</v>
      </c>
      <c r="BH13" s="59">
        <f t="shared" si="32"/>
        <v>2.0599365234375E-4</v>
      </c>
      <c r="BI13" s="58">
        <f t="shared" si="33"/>
        <v>216000</v>
      </c>
      <c r="BJ13" s="60">
        <f t="shared" si="34"/>
        <v>2.159911443630811E-2</v>
      </c>
    </row>
    <row r="14" spans="2:62" x14ac:dyDescent="0.2">
      <c r="B14" s="44" t="s">
        <v>176</v>
      </c>
      <c r="C14" s="33" t="s">
        <v>26</v>
      </c>
      <c r="D14" s="33" t="s">
        <v>26</v>
      </c>
      <c r="E14" s="33" t="s">
        <v>34</v>
      </c>
      <c r="F14" s="120"/>
      <c r="H14" s="51">
        <f>VLOOKUP("2001-W15",PAYTABLE,COLUMN()-1,FALSE)*2</f>
        <v>80</v>
      </c>
      <c r="I14" s="52">
        <f>VLOOKUP("2001-W15",PAYTABLE,COLUMN()-1,FALSE)*2</f>
        <v>160</v>
      </c>
      <c r="J14" s="52">
        <f>VLOOKUP("2001-W15",PAYTABLE,COLUMN()-1,FALSE)*2</f>
        <v>240</v>
      </c>
      <c r="K14" s="52">
        <f>VLOOKUP("2001-W15",PAYTABLE,COLUMN()-1,FALSE)*2</f>
        <v>320</v>
      </c>
      <c r="L14" s="53">
        <f>VLOOKUP("2001-W15",PAYTABLE,COLUMN()-1,FALSE)*2</f>
        <v>400</v>
      </c>
      <c r="N14" s="57">
        <f t="shared" si="0"/>
        <v>120</v>
      </c>
      <c r="O14" s="58"/>
      <c r="P14" s="58">
        <f t="shared" si="1"/>
        <v>120</v>
      </c>
      <c r="Q14" s="59">
        <f t="shared" si="2"/>
        <v>4.4808053500815882E-4</v>
      </c>
      <c r="R14" s="58">
        <f t="shared" si="3"/>
        <v>17476.266666666666</v>
      </c>
      <c r="S14" s="58">
        <f>IF(P14=0,0,CYCLE/SUM($P$6:P14))</f>
        <v>1897.875113122172</v>
      </c>
      <c r="T14" s="59">
        <f t="shared" si="4"/>
        <v>5.7220458984375E-5</v>
      </c>
      <c r="U14" s="58">
        <f t="shared" si="5"/>
        <v>9600</v>
      </c>
      <c r="V14" s="60">
        <f t="shared" si="6"/>
        <v>5.2050293596187314E-3</v>
      </c>
      <c r="X14" s="57">
        <f t="shared" si="7"/>
        <v>120</v>
      </c>
      <c r="Y14" s="58"/>
      <c r="Z14" s="58">
        <f t="shared" si="8"/>
        <v>120</v>
      </c>
      <c r="AA14" s="59">
        <f t="shared" si="9"/>
        <v>4.4577682183414874E-4</v>
      </c>
      <c r="AB14" s="58">
        <f t="shared" si="10"/>
        <v>17476.266666666666</v>
      </c>
      <c r="AC14" s="58">
        <f>IF(Z14=0,0,CYCLE/SUM($Z$6:Z14))</f>
        <v>1969.156807511737</v>
      </c>
      <c r="AD14" s="59">
        <f t="shared" si="11"/>
        <v>5.7220458984375E-5</v>
      </c>
      <c r="AE14" s="58">
        <f t="shared" si="12"/>
        <v>19200</v>
      </c>
      <c r="AF14" s="60">
        <f t="shared" si="13"/>
        <v>5.0973054369134116E-3</v>
      </c>
      <c r="AH14" s="57">
        <f t="shared" si="14"/>
        <v>120</v>
      </c>
      <c r="AI14" s="58"/>
      <c r="AJ14" s="58">
        <f t="shared" si="15"/>
        <v>120</v>
      </c>
      <c r="AK14" s="59">
        <f t="shared" si="16"/>
        <v>4.2007834461127002E-4</v>
      </c>
      <c r="AL14" s="58">
        <f t="shared" si="17"/>
        <v>17476.266666666666</v>
      </c>
      <c r="AM14" s="58">
        <f>IF(AJ14=0,0,CYCLE/SUM($AJ$6:AJ14))</f>
        <v>1954.4753028890959</v>
      </c>
      <c r="AN14" s="59">
        <f t="shared" si="18"/>
        <v>5.7220458984375E-5</v>
      </c>
      <c r="AO14" s="58">
        <f t="shared" si="19"/>
        <v>28800</v>
      </c>
      <c r="AP14" s="60">
        <f t="shared" si="20"/>
        <v>4.9938513205615587E-3</v>
      </c>
      <c r="AR14" s="57">
        <f t="shared" si="21"/>
        <v>120</v>
      </c>
      <c r="AS14" s="58"/>
      <c r="AT14" s="58">
        <f t="shared" si="22"/>
        <v>120</v>
      </c>
      <c r="AU14" s="59">
        <f t="shared" si="23"/>
        <v>3.9391661441800461E-4</v>
      </c>
      <c r="AV14" s="58">
        <f t="shared" si="24"/>
        <v>17476.266666666666</v>
      </c>
      <c r="AW14" s="58">
        <f>IF(AT14=0,0,CYCLE/SUM($AT$6:AT14))</f>
        <v>1984.0605487228004</v>
      </c>
      <c r="AX14" s="59">
        <f t="shared" si="25"/>
        <v>5.7220458984375E-5</v>
      </c>
      <c r="AY14" s="58">
        <f t="shared" si="26"/>
        <v>38400</v>
      </c>
      <c r="AZ14" s="60">
        <f t="shared" si="27"/>
        <v>4.9044300285989578E-3</v>
      </c>
      <c r="BB14" s="57">
        <f t="shared" si="28"/>
        <v>120</v>
      </c>
      <c r="BC14" s="58"/>
      <c r="BD14" s="58">
        <f t="shared" si="29"/>
        <v>120</v>
      </c>
      <c r="BE14" s="59">
        <f t="shared" si="30"/>
        <v>3.7543292108712859E-4</v>
      </c>
      <c r="BF14" s="58">
        <f t="shared" si="31"/>
        <v>17476.266666666666</v>
      </c>
      <c r="BG14" s="58">
        <f>IF(BD14=0,0,CYCLE/SUM($BD$6:BD14))</f>
        <v>1984.0605487228004</v>
      </c>
      <c r="BH14" s="59">
        <f t="shared" si="32"/>
        <v>5.7220458984375E-5</v>
      </c>
      <c r="BI14" s="58">
        <f t="shared" si="33"/>
        <v>48000</v>
      </c>
      <c r="BJ14" s="60">
        <f t="shared" si="34"/>
        <v>4.7998032080684688E-3</v>
      </c>
    </row>
    <row r="15" spans="2:62" x14ac:dyDescent="0.2">
      <c r="B15" s="44" t="s">
        <v>138</v>
      </c>
      <c r="C15" s="33" t="s">
        <v>29</v>
      </c>
      <c r="D15" s="33" t="s">
        <v>29</v>
      </c>
      <c r="E15" s="33" t="s">
        <v>34</v>
      </c>
      <c r="F15" s="120"/>
      <c r="H15" s="51">
        <f>VLOOKUP("2001-W20",PAYTABLE,COLUMN()-1,FALSE)*2</f>
        <v>50</v>
      </c>
      <c r="I15" s="52">
        <f>VLOOKUP("2001-W20",PAYTABLE,COLUMN()-1,FALSE)*2</f>
        <v>100</v>
      </c>
      <c r="J15" s="52">
        <f>VLOOKUP("2001-W20",PAYTABLE,COLUMN()-1,FALSE)*2</f>
        <v>150</v>
      </c>
      <c r="K15" s="52">
        <f>VLOOKUP("2001-W20",PAYTABLE,COLUMN()-1,FALSE)*2</f>
        <v>200</v>
      </c>
      <c r="L15" s="53">
        <f>VLOOKUP("2001-W20",PAYTABLE,COLUMN()-1,FALSE)*2</f>
        <v>250</v>
      </c>
      <c r="N15" s="57">
        <f t="shared" si="0"/>
        <v>256</v>
      </c>
      <c r="O15" s="58"/>
      <c r="P15" s="58">
        <f t="shared" si="1"/>
        <v>256</v>
      </c>
      <c r="Q15" s="59">
        <f t="shared" si="2"/>
        <v>9.5590514135073879E-4</v>
      </c>
      <c r="R15" s="58">
        <f t="shared" si="3"/>
        <v>8192</v>
      </c>
      <c r="S15" s="58">
        <f>IF(P15=0,0,CYCLE/SUM($P$6:P15))</f>
        <v>1540.8905216752387</v>
      </c>
      <c r="T15" s="59">
        <f t="shared" si="4"/>
        <v>1.220703125E-4</v>
      </c>
      <c r="U15" s="58">
        <f t="shared" si="5"/>
        <v>12800</v>
      </c>
      <c r="V15" s="60">
        <f t="shared" si="6"/>
        <v>6.9400391461583088E-3</v>
      </c>
      <c r="X15" s="57">
        <f t="shared" si="7"/>
        <v>256</v>
      </c>
      <c r="Y15" s="58"/>
      <c r="Z15" s="58">
        <f t="shared" si="8"/>
        <v>256</v>
      </c>
      <c r="AA15" s="59">
        <f t="shared" si="9"/>
        <v>9.5099055324618397E-4</v>
      </c>
      <c r="AB15" s="58">
        <f t="shared" si="10"/>
        <v>8192</v>
      </c>
      <c r="AC15" s="58">
        <f>IF(Z15=0,0,CYCLE/SUM($Z$6:Z15))</f>
        <v>1587.5488266464799</v>
      </c>
      <c r="AD15" s="59">
        <f t="shared" si="11"/>
        <v>1.220703125E-4</v>
      </c>
      <c r="AE15" s="58">
        <f t="shared" si="12"/>
        <v>25600</v>
      </c>
      <c r="AF15" s="60">
        <f t="shared" si="13"/>
        <v>6.7964072492178824E-3</v>
      </c>
      <c r="AH15" s="57">
        <f t="shared" si="14"/>
        <v>256</v>
      </c>
      <c r="AI15" s="58"/>
      <c r="AJ15" s="58">
        <f t="shared" si="15"/>
        <v>256</v>
      </c>
      <c r="AK15" s="59">
        <f t="shared" si="16"/>
        <v>8.9616713517070938E-4</v>
      </c>
      <c r="AL15" s="58">
        <f t="shared" si="17"/>
        <v>8192</v>
      </c>
      <c r="AM15" s="58">
        <f>IF(AJ15=0,0,CYCLE/SUM($AJ$6:AJ15))</f>
        <v>1577.9924755455229</v>
      </c>
      <c r="AN15" s="59">
        <f t="shared" si="18"/>
        <v>1.220703125E-4</v>
      </c>
      <c r="AO15" s="58">
        <f t="shared" si="19"/>
        <v>38400</v>
      </c>
      <c r="AP15" s="60">
        <f t="shared" si="20"/>
        <v>6.6584684274154111E-3</v>
      </c>
      <c r="AR15" s="57">
        <f t="shared" si="21"/>
        <v>256</v>
      </c>
      <c r="AS15" s="58"/>
      <c r="AT15" s="58">
        <f t="shared" si="22"/>
        <v>256</v>
      </c>
      <c r="AU15" s="59">
        <f t="shared" si="23"/>
        <v>8.4035544409174318E-4</v>
      </c>
      <c r="AV15" s="58">
        <f t="shared" si="24"/>
        <v>8192</v>
      </c>
      <c r="AW15" s="58">
        <f>IF(AT15=0,0,CYCLE/SUM($AT$6:AT15))</f>
        <v>1597.2216298552933</v>
      </c>
      <c r="AX15" s="59">
        <f t="shared" si="25"/>
        <v>1.220703125E-4</v>
      </c>
      <c r="AY15" s="58">
        <f t="shared" si="26"/>
        <v>51200</v>
      </c>
      <c r="AZ15" s="60">
        <f t="shared" si="27"/>
        <v>6.5392400381319438E-3</v>
      </c>
      <c r="BB15" s="57">
        <f t="shared" si="28"/>
        <v>256</v>
      </c>
      <c r="BC15" s="58"/>
      <c r="BD15" s="58">
        <f t="shared" si="29"/>
        <v>256</v>
      </c>
      <c r="BE15" s="59">
        <f t="shared" si="30"/>
        <v>8.0092356498587432E-4</v>
      </c>
      <c r="BF15" s="58">
        <f t="shared" si="31"/>
        <v>8192</v>
      </c>
      <c r="BG15" s="58">
        <f>IF(BD15=0,0,CYCLE/SUM($BD$6:BD15))</f>
        <v>1597.2216298552933</v>
      </c>
      <c r="BH15" s="59">
        <f t="shared" si="32"/>
        <v>1.220703125E-4</v>
      </c>
      <c r="BI15" s="58">
        <f t="shared" si="33"/>
        <v>64000</v>
      </c>
      <c r="BJ15" s="60">
        <f t="shared" si="34"/>
        <v>6.3997376107579589E-3</v>
      </c>
    </row>
    <row r="16" spans="2:62" x14ac:dyDescent="0.2">
      <c r="B16" s="44" t="s">
        <v>139</v>
      </c>
      <c r="C16" s="33" t="s">
        <v>27</v>
      </c>
      <c r="D16" s="33" t="s">
        <v>27</v>
      </c>
      <c r="E16" s="33" t="s">
        <v>34</v>
      </c>
      <c r="F16" s="120"/>
      <c r="H16" s="51">
        <f>VLOOKUP("2001-W22",PAYTABLE,COLUMN()-1,FALSE)*2</f>
        <v>50</v>
      </c>
      <c r="I16" s="52">
        <f>VLOOKUP("2001-W22",PAYTABLE,COLUMN()-1,FALSE)*2</f>
        <v>100</v>
      </c>
      <c r="J16" s="52">
        <f>VLOOKUP("2001-W22",PAYTABLE,COLUMN()-1,FALSE)*2</f>
        <v>150</v>
      </c>
      <c r="K16" s="52">
        <f>VLOOKUP("2001-W22",PAYTABLE,COLUMN()-1,FALSE)*2</f>
        <v>200</v>
      </c>
      <c r="L16" s="53">
        <f>VLOOKUP("2001-W22",PAYTABLE,COLUMN()-1,FALSE)*2</f>
        <v>250</v>
      </c>
      <c r="N16" s="57">
        <f t="shared" si="0"/>
        <v>144</v>
      </c>
      <c r="O16" s="58"/>
      <c r="P16" s="58">
        <f t="shared" si="1"/>
        <v>144</v>
      </c>
      <c r="Q16" s="59">
        <f t="shared" si="2"/>
        <v>5.3769664200979054E-4</v>
      </c>
      <c r="R16" s="58">
        <f t="shared" si="3"/>
        <v>14563.555555555555</v>
      </c>
      <c r="S16" s="58">
        <f>IF(P16=0,0,CYCLE/SUM($P$6:P16))</f>
        <v>1393.4564784053157</v>
      </c>
      <c r="T16" s="59">
        <f t="shared" si="4"/>
        <v>6.866455078125E-5</v>
      </c>
      <c r="U16" s="58">
        <f t="shared" si="5"/>
        <v>7200</v>
      </c>
      <c r="V16" s="60">
        <f t="shared" si="6"/>
        <v>3.9037720197140488E-3</v>
      </c>
      <c r="X16" s="57">
        <f t="shared" si="7"/>
        <v>144</v>
      </c>
      <c r="Y16" s="58"/>
      <c r="Z16" s="58">
        <f t="shared" si="8"/>
        <v>144</v>
      </c>
      <c r="AA16" s="59">
        <f t="shared" si="9"/>
        <v>5.3493218620097847E-4</v>
      </c>
      <c r="AB16" s="58">
        <f t="shared" si="10"/>
        <v>14563.555555555555</v>
      </c>
      <c r="AC16" s="58">
        <f>IF(Z16=0,0,CYCLE/SUM($Z$6:Z16))</f>
        <v>1431.503071672355</v>
      </c>
      <c r="AD16" s="59">
        <f t="shared" si="11"/>
        <v>6.866455078125E-5</v>
      </c>
      <c r="AE16" s="58">
        <f t="shared" si="12"/>
        <v>14400</v>
      </c>
      <c r="AF16" s="60">
        <f t="shared" si="13"/>
        <v>3.8229790776850587E-3</v>
      </c>
      <c r="AH16" s="57">
        <f t="shared" si="14"/>
        <v>144</v>
      </c>
      <c r="AI16" s="58"/>
      <c r="AJ16" s="58">
        <f t="shared" si="15"/>
        <v>144</v>
      </c>
      <c r="AK16" s="59">
        <f t="shared" si="16"/>
        <v>5.0409401353352398E-4</v>
      </c>
      <c r="AL16" s="58">
        <f t="shared" si="17"/>
        <v>14563.555555555555</v>
      </c>
      <c r="AM16" s="58">
        <f>IF(AJ16=0,0,CYCLE/SUM($AJ$6:AJ16))</f>
        <v>1423.7284453496266</v>
      </c>
      <c r="AN16" s="59">
        <f t="shared" si="18"/>
        <v>6.866455078125E-5</v>
      </c>
      <c r="AO16" s="58">
        <f t="shared" si="19"/>
        <v>21600</v>
      </c>
      <c r="AP16" s="60">
        <f t="shared" si="20"/>
        <v>3.7453884904211691E-3</v>
      </c>
      <c r="AR16" s="57">
        <f t="shared" si="21"/>
        <v>144</v>
      </c>
      <c r="AS16" s="58"/>
      <c r="AT16" s="58">
        <f t="shared" si="22"/>
        <v>144</v>
      </c>
      <c r="AU16" s="59">
        <f t="shared" si="23"/>
        <v>4.7269993730160556E-4</v>
      </c>
      <c r="AV16" s="58">
        <f t="shared" si="24"/>
        <v>14563.555555555555</v>
      </c>
      <c r="AW16" s="58">
        <f>IF(AT16=0,0,CYCLE/SUM($AT$6:AT16))</f>
        <v>1439.363074811256</v>
      </c>
      <c r="AX16" s="59">
        <f t="shared" si="25"/>
        <v>6.866455078125E-5</v>
      </c>
      <c r="AY16" s="58">
        <f t="shared" si="26"/>
        <v>28800</v>
      </c>
      <c r="AZ16" s="60">
        <f t="shared" si="27"/>
        <v>3.6783225214492184E-3</v>
      </c>
      <c r="BB16" s="57">
        <f t="shared" si="28"/>
        <v>144</v>
      </c>
      <c r="BC16" s="58"/>
      <c r="BD16" s="58">
        <f t="shared" si="29"/>
        <v>144</v>
      </c>
      <c r="BE16" s="59">
        <f t="shared" si="30"/>
        <v>4.505195053045543E-4</v>
      </c>
      <c r="BF16" s="58">
        <f t="shared" si="31"/>
        <v>14563.555555555555</v>
      </c>
      <c r="BG16" s="58">
        <f>IF(BD16=0,0,CYCLE/SUM($BD$6:BD16))</f>
        <v>1439.363074811256</v>
      </c>
      <c r="BH16" s="59">
        <f t="shared" si="32"/>
        <v>6.866455078125E-5</v>
      </c>
      <c r="BI16" s="58">
        <f t="shared" si="33"/>
        <v>36000</v>
      </c>
      <c r="BJ16" s="60">
        <f t="shared" si="34"/>
        <v>3.599852406051352E-3</v>
      </c>
    </row>
    <row r="17" spans="2:62" ht="15" x14ac:dyDescent="0.25">
      <c r="B17" s="44" t="s">
        <v>140</v>
      </c>
      <c r="C17" s="33" t="s">
        <v>39</v>
      </c>
      <c r="D17" s="33" t="s">
        <v>39</v>
      </c>
      <c r="E17" s="33" t="s">
        <v>39</v>
      </c>
      <c r="F17" s="96" t="s">
        <v>111</v>
      </c>
      <c r="H17" s="48">
        <v>50</v>
      </c>
      <c r="I17" s="49">
        <v>100</v>
      </c>
      <c r="J17" s="49">
        <v>150</v>
      </c>
      <c r="K17" s="49">
        <v>200</v>
      </c>
      <c r="L17" s="50">
        <v>250</v>
      </c>
      <c r="N17" s="57">
        <f t="shared" si="0"/>
        <v>1872</v>
      </c>
      <c r="O17" s="58"/>
      <c r="P17" s="58">
        <f t="shared" si="1"/>
        <v>1872</v>
      </c>
      <c r="Q17" s="59">
        <f t="shared" si="2"/>
        <v>6.9900563461272776E-3</v>
      </c>
      <c r="R17" s="58">
        <f t="shared" si="3"/>
        <v>1120.2735042735044</v>
      </c>
      <c r="S17" s="58">
        <f>IF(P17=0,0,CYCLE/SUM($P$6:P17))</f>
        <v>621.01036422860523</v>
      </c>
      <c r="T17" s="59">
        <f t="shared" si="4"/>
        <v>8.9263916015625E-4</v>
      </c>
      <c r="U17" s="58">
        <f t="shared" si="5"/>
        <v>93600</v>
      </c>
      <c r="V17" s="60">
        <f t="shared" si="6"/>
        <v>5.0749036256282631E-2</v>
      </c>
      <c r="X17" s="57">
        <f t="shared" si="7"/>
        <v>1872</v>
      </c>
      <c r="Y17" s="58"/>
      <c r="Z17" s="58">
        <f t="shared" si="8"/>
        <v>1872</v>
      </c>
      <c r="AA17" s="59">
        <f t="shared" si="9"/>
        <v>6.9541184206127205E-3</v>
      </c>
      <c r="AB17" s="58">
        <f t="shared" si="10"/>
        <v>1120.2735042735044</v>
      </c>
      <c r="AC17" s="58">
        <f>IF(Z17=0,0,CYCLE/SUM($Z$6:Z17))</f>
        <v>628.45430026970337</v>
      </c>
      <c r="AD17" s="59">
        <f t="shared" si="11"/>
        <v>8.9263916015625E-4</v>
      </c>
      <c r="AE17" s="58">
        <f t="shared" si="12"/>
        <v>187200</v>
      </c>
      <c r="AF17" s="60">
        <f t="shared" si="13"/>
        <v>4.9698728009905761E-2</v>
      </c>
      <c r="AH17" s="57">
        <f t="shared" si="14"/>
        <v>1716</v>
      </c>
      <c r="AI17" s="58"/>
      <c r="AJ17" s="58">
        <f t="shared" si="15"/>
        <v>1716</v>
      </c>
      <c r="AK17" s="59">
        <f t="shared" si="16"/>
        <v>6.0071203279411607E-3</v>
      </c>
      <c r="AL17" s="58">
        <f t="shared" si="17"/>
        <v>1222.1165501165501</v>
      </c>
      <c r="AM17" s="58">
        <f>IF(AJ17=0,0,CYCLE/SUM($AJ$6:AJ17))</f>
        <v>657.62057071182187</v>
      </c>
      <c r="AN17" s="59">
        <f t="shared" si="18"/>
        <v>8.182525634765625E-4</v>
      </c>
      <c r="AO17" s="58">
        <f t="shared" si="19"/>
        <v>257400</v>
      </c>
      <c r="AP17" s="60">
        <f t="shared" si="20"/>
        <v>4.4632546177518932E-2</v>
      </c>
      <c r="AR17" s="57">
        <f t="shared" si="21"/>
        <v>858</v>
      </c>
      <c r="AS17" s="58"/>
      <c r="AT17" s="58">
        <f t="shared" si="22"/>
        <v>858</v>
      </c>
      <c r="AU17" s="59">
        <f t="shared" si="23"/>
        <v>2.8165037930887329E-3</v>
      </c>
      <c r="AV17" s="58">
        <f t="shared" si="24"/>
        <v>2444.2331002331002</v>
      </c>
      <c r="AW17" s="58">
        <f>IF(AT17=0,0,CYCLE/SUM($AT$6:AT17))</f>
        <v>905.89719222462202</v>
      </c>
      <c r="AX17" s="59">
        <f t="shared" si="25"/>
        <v>4.0912628173828125E-4</v>
      </c>
      <c r="AY17" s="58">
        <f t="shared" si="26"/>
        <v>171600</v>
      </c>
      <c r="AZ17" s="60">
        <f t="shared" si="27"/>
        <v>2.1916671690301592E-2</v>
      </c>
      <c r="BB17" s="57">
        <f t="shared" si="28"/>
        <v>2112</v>
      </c>
      <c r="BC17" s="58"/>
      <c r="BD17" s="58">
        <f t="shared" si="29"/>
        <v>2112</v>
      </c>
      <c r="BE17" s="59">
        <f t="shared" si="30"/>
        <v>6.6076194111334636E-3</v>
      </c>
      <c r="BF17" s="58">
        <f t="shared" si="31"/>
        <v>992.969696969697</v>
      </c>
      <c r="BG17" s="58">
        <f>IF(BD17=0,0,CYCLE/SUM($BD$6:BD17))</f>
        <v>587.6021294480247</v>
      </c>
      <c r="BH17" s="59">
        <f t="shared" si="32"/>
        <v>1.007080078125E-3</v>
      </c>
      <c r="BI17" s="58">
        <f t="shared" si="33"/>
        <v>528000</v>
      </c>
      <c r="BJ17" s="60">
        <f t="shared" si="34"/>
        <v>5.2797835288753162E-2</v>
      </c>
    </row>
    <row r="18" spans="2:62" x14ac:dyDescent="0.2">
      <c r="B18" s="44" t="s">
        <v>141</v>
      </c>
      <c r="C18" s="33" t="s">
        <v>36</v>
      </c>
      <c r="D18" s="33" t="s">
        <v>36</v>
      </c>
      <c r="E18" s="33" t="s">
        <v>44</v>
      </c>
      <c r="F18" s="120"/>
      <c r="H18" s="48">
        <v>40</v>
      </c>
      <c r="I18" s="49">
        <v>80</v>
      </c>
      <c r="J18" s="49">
        <v>120</v>
      </c>
      <c r="K18" s="49">
        <v>160</v>
      </c>
      <c r="L18" s="50">
        <v>200</v>
      </c>
      <c r="N18" s="57">
        <f t="shared" si="0"/>
        <v>768</v>
      </c>
      <c r="O18" s="91">
        <f>VLOOKUP("2001-W02",PAYTABLE,COLUMN(),FALSE)</f>
        <v>24</v>
      </c>
      <c r="P18" s="58">
        <f t="shared" si="1"/>
        <v>744</v>
      </c>
      <c r="Q18" s="59">
        <f t="shared" si="2"/>
        <v>2.7780993170505846E-3</v>
      </c>
      <c r="R18" s="58">
        <f t="shared" si="3"/>
        <v>2818.7526881720432</v>
      </c>
      <c r="S18" s="58">
        <f>IF(P18=0,0,CYCLE/SUM($P$6:P18))</f>
        <v>508.89395777723854</v>
      </c>
      <c r="T18" s="59">
        <f t="shared" si="4"/>
        <v>3.54766845703125E-4</v>
      </c>
      <c r="U18" s="58">
        <f t="shared" si="5"/>
        <v>29760</v>
      </c>
      <c r="V18" s="60">
        <f t="shared" si="6"/>
        <v>1.6135591014818068E-2</v>
      </c>
      <c r="X18" s="57">
        <f t="shared" si="7"/>
        <v>768</v>
      </c>
      <c r="Y18" s="91">
        <f>VLOOKUP("2001-W02",PAYTABLE,COLUMN(),FALSE)</f>
        <v>24</v>
      </c>
      <c r="Z18" s="58">
        <f t="shared" si="8"/>
        <v>744</v>
      </c>
      <c r="AA18" s="59">
        <f t="shared" si="9"/>
        <v>2.763816295371722E-3</v>
      </c>
      <c r="AB18" s="58">
        <f t="shared" si="10"/>
        <v>2818.7526881720432</v>
      </c>
      <c r="AC18" s="58">
        <f>IF(Z18=0,0,CYCLE/SUM($Z$6:Z18))</f>
        <v>513.88189169321242</v>
      </c>
      <c r="AD18" s="59">
        <f t="shared" si="11"/>
        <v>3.54766845703125E-4</v>
      </c>
      <c r="AE18" s="58">
        <f t="shared" si="12"/>
        <v>59520</v>
      </c>
      <c r="AF18" s="60">
        <f t="shared" si="13"/>
        <v>1.5801646854431577E-2</v>
      </c>
      <c r="AH18" s="57">
        <f t="shared" si="14"/>
        <v>768</v>
      </c>
      <c r="AI18" s="91">
        <f>VLOOKUP("2001-W02",PAYTABLE,COLUMN(),FALSE)</f>
        <v>24</v>
      </c>
      <c r="AJ18" s="58">
        <f t="shared" si="15"/>
        <v>744</v>
      </c>
      <c r="AK18" s="59">
        <f t="shared" si="16"/>
        <v>2.6044857365898739E-3</v>
      </c>
      <c r="AL18" s="58">
        <f t="shared" si="17"/>
        <v>2818.7526881720432</v>
      </c>
      <c r="AM18" s="58">
        <f>IF(AJ18=0,0,CYCLE/SUM($AJ$6:AJ18))</f>
        <v>533.21942537503173</v>
      </c>
      <c r="AN18" s="59">
        <f t="shared" si="18"/>
        <v>3.54766845703125E-4</v>
      </c>
      <c r="AO18" s="58">
        <f t="shared" si="19"/>
        <v>89280</v>
      </c>
      <c r="AP18" s="60">
        <f t="shared" si="20"/>
        <v>1.5480939093740832E-2</v>
      </c>
      <c r="AR18" s="57">
        <f t="shared" si="21"/>
        <v>768</v>
      </c>
      <c r="AS18" s="91">
        <f>VLOOKUP("2001-W02",PAYTABLE,COLUMN(),FALSE)</f>
        <v>24</v>
      </c>
      <c r="AT18" s="58">
        <f t="shared" si="22"/>
        <v>744</v>
      </c>
      <c r="AU18" s="59">
        <f t="shared" si="23"/>
        <v>2.4422830093916285E-3</v>
      </c>
      <c r="AV18" s="58">
        <f t="shared" si="24"/>
        <v>2818.7526881720432</v>
      </c>
      <c r="AW18" s="58">
        <f>IF(AT18=0,0,CYCLE/SUM($AT$6:AT18))</f>
        <v>685.56783262504086</v>
      </c>
      <c r="AX18" s="59">
        <f t="shared" si="25"/>
        <v>3.54766845703125E-4</v>
      </c>
      <c r="AY18" s="58">
        <f t="shared" si="26"/>
        <v>119040</v>
      </c>
      <c r="AZ18" s="60">
        <f t="shared" si="27"/>
        <v>1.5203733088656768E-2</v>
      </c>
      <c r="BB18" s="57">
        <f t="shared" si="28"/>
        <v>768</v>
      </c>
      <c r="BC18" s="91">
        <f>VLOOKUP("2001-W02",PAYTABLE,COLUMN(),FALSE)</f>
        <v>24</v>
      </c>
      <c r="BD18" s="58">
        <f t="shared" si="29"/>
        <v>744</v>
      </c>
      <c r="BE18" s="59">
        <f t="shared" si="30"/>
        <v>2.3276841107401974E-3</v>
      </c>
      <c r="BF18" s="58">
        <f t="shared" si="31"/>
        <v>2818.7526881720432</v>
      </c>
      <c r="BG18" s="58">
        <f>IF(BD18=0,0,CYCLE/SUM($BD$6:BD18))</f>
        <v>486.23974031996289</v>
      </c>
      <c r="BH18" s="59">
        <f t="shared" si="32"/>
        <v>3.54766845703125E-4</v>
      </c>
      <c r="BI18" s="58">
        <f t="shared" si="33"/>
        <v>148800</v>
      </c>
      <c r="BJ18" s="60">
        <f t="shared" si="34"/>
        <v>1.4879389945012254E-2</v>
      </c>
    </row>
    <row r="19" spans="2:62" x14ac:dyDescent="0.2">
      <c r="B19" s="44" t="s">
        <v>142</v>
      </c>
      <c r="C19" s="33" t="s">
        <v>26</v>
      </c>
      <c r="D19" s="33" t="s">
        <v>26</v>
      </c>
      <c r="E19" s="33" t="s">
        <v>45</v>
      </c>
      <c r="F19" s="120"/>
      <c r="H19" s="51">
        <f>VLOOKUP("2001-W15",PAYTABLE,COLUMN()-1,FALSE)</f>
        <v>40</v>
      </c>
      <c r="I19" s="52">
        <f>VLOOKUP("2001-W15",PAYTABLE,COLUMN()-1,FALSE)</f>
        <v>80</v>
      </c>
      <c r="J19" s="52">
        <f>VLOOKUP("2001-W15",PAYTABLE,COLUMN()-1,FALSE)</f>
        <v>120</v>
      </c>
      <c r="K19" s="52">
        <f>VLOOKUP("2001-W15",PAYTABLE,COLUMN()-1,FALSE)</f>
        <v>160</v>
      </c>
      <c r="L19" s="53">
        <f>VLOOKUP("2001-W15",PAYTABLE,COLUMN()-1,FALSE)</f>
        <v>200</v>
      </c>
      <c r="N19" s="57">
        <f t="shared" si="0"/>
        <v>120</v>
      </c>
      <c r="O19" s="58"/>
      <c r="P19" s="58">
        <f t="shared" si="1"/>
        <v>120</v>
      </c>
      <c r="Q19" s="59">
        <f t="shared" si="2"/>
        <v>4.4808053500815882E-4</v>
      </c>
      <c r="R19" s="58">
        <f t="shared" si="3"/>
        <v>17476.266666666666</v>
      </c>
      <c r="S19" s="58">
        <f>IF(P19=0,0,CYCLE/SUM($P$6:P19))</f>
        <v>494.49469464748881</v>
      </c>
      <c r="T19" s="59">
        <f t="shared" si="4"/>
        <v>5.7220458984375E-5</v>
      </c>
      <c r="U19" s="58">
        <f t="shared" si="5"/>
        <v>4800</v>
      </c>
      <c r="V19" s="60">
        <f t="shared" si="6"/>
        <v>2.6025146798093657E-3</v>
      </c>
      <c r="X19" s="57">
        <f t="shared" si="7"/>
        <v>120</v>
      </c>
      <c r="Y19" s="58"/>
      <c r="Z19" s="58">
        <f t="shared" si="8"/>
        <v>120</v>
      </c>
      <c r="AA19" s="59">
        <f t="shared" si="9"/>
        <v>4.4577682183414874E-4</v>
      </c>
      <c r="AB19" s="58">
        <f t="shared" si="10"/>
        <v>17476.266666666666</v>
      </c>
      <c r="AC19" s="58">
        <f>IF(Z19=0,0,CYCLE/SUM($Z$6:Z19))</f>
        <v>499.20304689359676</v>
      </c>
      <c r="AD19" s="59">
        <f t="shared" si="11"/>
        <v>5.7220458984375E-5</v>
      </c>
      <c r="AE19" s="58">
        <f t="shared" si="12"/>
        <v>9600</v>
      </c>
      <c r="AF19" s="60">
        <f t="shared" si="13"/>
        <v>2.5486527184567058E-3</v>
      </c>
      <c r="AH19" s="57">
        <f t="shared" si="14"/>
        <v>120</v>
      </c>
      <c r="AI19" s="58"/>
      <c r="AJ19" s="58">
        <f t="shared" si="15"/>
        <v>120</v>
      </c>
      <c r="AK19" s="59">
        <f t="shared" si="16"/>
        <v>4.2007834461127002E-4</v>
      </c>
      <c r="AL19" s="58">
        <f t="shared" si="17"/>
        <v>17476.266666666666</v>
      </c>
      <c r="AM19" s="58">
        <f>IF(AJ19=0,0,CYCLE/SUM($AJ$6:AJ19))</f>
        <v>517.43202566000491</v>
      </c>
      <c r="AN19" s="59">
        <f t="shared" si="18"/>
        <v>5.7220458984375E-5</v>
      </c>
      <c r="AO19" s="58">
        <f t="shared" si="19"/>
        <v>14400</v>
      </c>
      <c r="AP19" s="60">
        <f t="shared" si="20"/>
        <v>2.4969256602807794E-3</v>
      </c>
      <c r="AR19" s="57">
        <f t="shared" si="21"/>
        <v>120</v>
      </c>
      <c r="AS19" s="58"/>
      <c r="AT19" s="58">
        <f t="shared" si="22"/>
        <v>120</v>
      </c>
      <c r="AU19" s="59">
        <f t="shared" si="23"/>
        <v>3.9391661441800461E-4</v>
      </c>
      <c r="AV19" s="58">
        <f t="shared" si="24"/>
        <v>17476.266666666666</v>
      </c>
      <c r="AW19" s="58">
        <f>IF(AT19=0,0,CYCLE/SUM($AT$6:AT19))</f>
        <v>659.68921044353567</v>
      </c>
      <c r="AX19" s="59">
        <f t="shared" si="25"/>
        <v>5.7220458984375E-5</v>
      </c>
      <c r="AY19" s="58">
        <f t="shared" si="26"/>
        <v>19200</v>
      </c>
      <c r="AZ19" s="60">
        <f t="shared" si="27"/>
        <v>2.4522150142994789E-3</v>
      </c>
      <c r="BB19" s="57">
        <f t="shared" si="28"/>
        <v>120</v>
      </c>
      <c r="BC19" s="58"/>
      <c r="BD19" s="58">
        <f t="shared" si="29"/>
        <v>120</v>
      </c>
      <c r="BE19" s="59">
        <f t="shared" si="30"/>
        <v>3.7543292108712859E-4</v>
      </c>
      <c r="BF19" s="58">
        <f t="shared" si="31"/>
        <v>17476.266666666666</v>
      </c>
      <c r="BG19" s="58">
        <f>IF(BD19=0,0,CYCLE/SUM($BD$6:BD19))</f>
        <v>473.07737423866456</v>
      </c>
      <c r="BH19" s="59">
        <f t="shared" si="32"/>
        <v>5.7220458984375E-5</v>
      </c>
      <c r="BI19" s="58">
        <f t="shared" si="33"/>
        <v>24000</v>
      </c>
      <c r="BJ19" s="60">
        <f t="shared" si="34"/>
        <v>2.3999016040342344E-3</v>
      </c>
    </row>
    <row r="20" spans="2:62" x14ac:dyDescent="0.2">
      <c r="B20" s="44" t="s">
        <v>143</v>
      </c>
      <c r="C20" s="33" t="s">
        <v>26</v>
      </c>
      <c r="D20" s="33" t="s">
        <v>26</v>
      </c>
      <c r="E20" s="33" t="s">
        <v>26</v>
      </c>
      <c r="F20" s="120"/>
      <c r="H20" s="48">
        <v>40</v>
      </c>
      <c r="I20" s="49">
        <v>80</v>
      </c>
      <c r="J20" s="49">
        <v>120</v>
      </c>
      <c r="K20" s="49">
        <v>160</v>
      </c>
      <c r="L20" s="50">
        <v>200</v>
      </c>
      <c r="N20" s="57">
        <f t="shared" si="0"/>
        <v>150</v>
      </c>
      <c r="O20" s="58"/>
      <c r="P20" s="58">
        <f t="shared" si="1"/>
        <v>150</v>
      </c>
      <c r="Q20" s="59">
        <f t="shared" si="2"/>
        <v>5.6010066876019849E-4</v>
      </c>
      <c r="R20" s="58">
        <f t="shared" si="3"/>
        <v>13981.013333333334</v>
      </c>
      <c r="S20" s="58">
        <f>IF(P20=0,0,CYCLE/SUM($P$6:P20))</f>
        <v>477.60236848098384</v>
      </c>
      <c r="T20" s="59">
        <f t="shared" si="4"/>
        <v>7.152557373046875E-5</v>
      </c>
      <c r="U20" s="58">
        <f t="shared" si="5"/>
        <v>6000</v>
      </c>
      <c r="V20" s="60">
        <f t="shared" si="6"/>
        <v>3.2531433497617075E-3</v>
      </c>
      <c r="X20" s="57">
        <f t="shared" si="7"/>
        <v>150</v>
      </c>
      <c r="Y20" s="58"/>
      <c r="Z20" s="58">
        <f t="shared" si="8"/>
        <v>150</v>
      </c>
      <c r="AA20" s="59">
        <f t="shared" si="9"/>
        <v>5.572210272926859E-4</v>
      </c>
      <c r="AB20" s="58">
        <f t="shared" si="10"/>
        <v>13981.013333333334</v>
      </c>
      <c r="AC20" s="58">
        <f>IF(Z20=0,0,CYCLE/SUM($Z$6:Z20))</f>
        <v>481.99310503332566</v>
      </c>
      <c r="AD20" s="59">
        <f t="shared" si="11"/>
        <v>7.152557373046875E-5</v>
      </c>
      <c r="AE20" s="58">
        <f t="shared" si="12"/>
        <v>12000</v>
      </c>
      <c r="AF20" s="60">
        <f t="shared" si="13"/>
        <v>3.1858158980708822E-3</v>
      </c>
      <c r="AH20" s="57">
        <f t="shared" si="14"/>
        <v>150</v>
      </c>
      <c r="AI20" s="58"/>
      <c r="AJ20" s="58">
        <f t="shared" si="15"/>
        <v>150</v>
      </c>
      <c r="AK20" s="59">
        <f t="shared" si="16"/>
        <v>5.2509793076408753E-4</v>
      </c>
      <c r="AL20" s="58">
        <f t="shared" si="17"/>
        <v>13981.013333333334</v>
      </c>
      <c r="AM20" s="58">
        <f>IF(AJ20=0,0,CYCLE/SUM($AJ$6:AJ20))</f>
        <v>498.96550083273854</v>
      </c>
      <c r="AN20" s="59">
        <f t="shared" si="18"/>
        <v>7.152557373046875E-5</v>
      </c>
      <c r="AO20" s="58">
        <f t="shared" si="19"/>
        <v>18000</v>
      </c>
      <c r="AP20" s="60">
        <f t="shared" si="20"/>
        <v>3.121157075350974E-3</v>
      </c>
      <c r="AR20" s="57">
        <f t="shared" si="21"/>
        <v>150</v>
      </c>
      <c r="AS20" s="58"/>
      <c r="AT20" s="58">
        <f t="shared" si="22"/>
        <v>150</v>
      </c>
      <c r="AU20" s="59">
        <f t="shared" si="23"/>
        <v>4.923957680225058E-4</v>
      </c>
      <c r="AV20" s="58">
        <f t="shared" si="24"/>
        <v>13981.013333333334</v>
      </c>
      <c r="AW20" s="58">
        <f>IF(AT20=0,0,CYCLE/SUM($AT$6:AT20))</f>
        <v>629.96455392009614</v>
      </c>
      <c r="AX20" s="59">
        <f t="shared" si="25"/>
        <v>7.152557373046875E-5</v>
      </c>
      <c r="AY20" s="58">
        <f t="shared" si="26"/>
        <v>24000</v>
      </c>
      <c r="AZ20" s="60">
        <f t="shared" si="27"/>
        <v>3.0652687678743486E-3</v>
      </c>
      <c r="BB20" s="57">
        <f t="shared" si="28"/>
        <v>150</v>
      </c>
      <c r="BC20" s="58"/>
      <c r="BD20" s="58">
        <f t="shared" si="29"/>
        <v>150</v>
      </c>
      <c r="BE20" s="59">
        <f t="shared" si="30"/>
        <v>4.6929115135891075E-4</v>
      </c>
      <c r="BF20" s="58">
        <f t="shared" si="31"/>
        <v>13981.013333333334</v>
      </c>
      <c r="BG20" s="58">
        <f>IF(BD20=0,0,CYCLE/SUM($BD$6:BD20))</f>
        <v>457.59371590661141</v>
      </c>
      <c r="BH20" s="59">
        <f t="shared" si="32"/>
        <v>7.152557373046875E-5</v>
      </c>
      <c r="BI20" s="58">
        <f t="shared" si="33"/>
        <v>30000</v>
      </c>
      <c r="BJ20" s="60">
        <f t="shared" si="34"/>
        <v>2.9998770050427932E-3</v>
      </c>
    </row>
    <row r="21" spans="2:62" x14ac:dyDescent="0.2">
      <c r="B21" s="44" t="s">
        <v>144</v>
      </c>
      <c r="C21" s="33" t="s">
        <v>37</v>
      </c>
      <c r="D21" s="33" t="s">
        <v>37</v>
      </c>
      <c r="E21" s="33" t="s">
        <v>44</v>
      </c>
      <c r="F21" s="120"/>
      <c r="H21" s="48">
        <v>30</v>
      </c>
      <c r="I21" s="49">
        <v>60</v>
      </c>
      <c r="J21" s="49">
        <v>90</v>
      </c>
      <c r="K21" s="49">
        <v>120</v>
      </c>
      <c r="L21" s="50">
        <v>150</v>
      </c>
      <c r="N21" s="57">
        <f t="shared" si="0"/>
        <v>1024</v>
      </c>
      <c r="O21" s="91">
        <f>VLOOKUP("2001-W03",PAYTABLE,COLUMN(),FALSE)</f>
        <v>32</v>
      </c>
      <c r="P21" s="58">
        <f t="shared" si="1"/>
        <v>992</v>
      </c>
      <c r="Q21" s="59">
        <f t="shared" si="2"/>
        <v>3.7041324227341126E-3</v>
      </c>
      <c r="R21" s="58">
        <f t="shared" si="3"/>
        <v>2114.0645161290322</v>
      </c>
      <c r="S21" s="58">
        <f>IF(P21=0,0,CYCLE/SUM($P$6:P21))</f>
        <v>389.58796210291661</v>
      </c>
      <c r="T21" s="59">
        <f t="shared" si="4"/>
        <v>4.730224609375E-4</v>
      </c>
      <c r="U21" s="58">
        <f t="shared" si="5"/>
        <v>29760</v>
      </c>
      <c r="V21" s="60">
        <f t="shared" si="6"/>
        <v>1.6135591014818068E-2</v>
      </c>
      <c r="X21" s="57">
        <f t="shared" si="7"/>
        <v>1536</v>
      </c>
      <c r="Y21" s="91">
        <f>VLOOKUP("2001-W03",PAYTABLE,COLUMN(),FALSE)</f>
        <v>48</v>
      </c>
      <c r="Z21" s="58">
        <f t="shared" si="8"/>
        <v>1488</v>
      </c>
      <c r="AA21" s="59">
        <f t="shared" si="9"/>
        <v>5.527632590743444E-3</v>
      </c>
      <c r="AB21" s="58">
        <f t="shared" si="10"/>
        <v>1409.3763440860216</v>
      </c>
      <c r="AC21" s="58">
        <f>IF(Z21=0,0,CYCLE/SUM($Z$6:Z21))</f>
        <v>359.16287035451273</v>
      </c>
      <c r="AD21" s="59">
        <f t="shared" si="11"/>
        <v>7.0953369140625E-4</v>
      </c>
      <c r="AE21" s="58">
        <f t="shared" si="12"/>
        <v>89280</v>
      </c>
      <c r="AF21" s="60">
        <f t="shared" si="13"/>
        <v>2.3702470281647365E-2</v>
      </c>
      <c r="AH21" s="57">
        <f t="shared" si="14"/>
        <v>1536</v>
      </c>
      <c r="AI21" s="91">
        <f>VLOOKUP("2001-W03",PAYTABLE,COLUMN(),FALSE)</f>
        <v>48</v>
      </c>
      <c r="AJ21" s="58">
        <f t="shared" si="15"/>
        <v>1488</v>
      </c>
      <c r="AK21" s="59">
        <f t="shared" si="16"/>
        <v>5.2089714731797477E-3</v>
      </c>
      <c r="AL21" s="58">
        <f t="shared" si="17"/>
        <v>1409.3763440860216</v>
      </c>
      <c r="AM21" s="58">
        <f>IF(AJ21=0,0,CYCLE/SUM($AJ$6:AJ21))</f>
        <v>368.50325074679319</v>
      </c>
      <c r="AN21" s="59">
        <f t="shared" si="18"/>
        <v>7.0953369140625E-4</v>
      </c>
      <c r="AO21" s="58">
        <f t="shared" si="19"/>
        <v>133920</v>
      </c>
      <c r="AP21" s="60">
        <f t="shared" si="20"/>
        <v>2.3221408640611247E-2</v>
      </c>
      <c r="AR21" s="57">
        <f t="shared" si="21"/>
        <v>1536</v>
      </c>
      <c r="AS21" s="91">
        <f>VLOOKUP("2001-W03",PAYTABLE,COLUMN(),FALSE)</f>
        <v>48</v>
      </c>
      <c r="AT21" s="58">
        <f t="shared" si="22"/>
        <v>1488</v>
      </c>
      <c r="AU21" s="59">
        <f t="shared" si="23"/>
        <v>4.884566018783257E-3</v>
      </c>
      <c r="AV21" s="58">
        <f t="shared" si="24"/>
        <v>1409.3763440860216</v>
      </c>
      <c r="AW21" s="58">
        <f>IF(AT21=0,0,CYCLE/SUM($AT$6:AT21))</f>
        <v>435.36474984430146</v>
      </c>
      <c r="AX21" s="59">
        <f t="shared" si="25"/>
        <v>7.0953369140625E-4</v>
      </c>
      <c r="AY21" s="58">
        <f t="shared" si="26"/>
        <v>178560</v>
      </c>
      <c r="AZ21" s="60">
        <f t="shared" si="27"/>
        <v>2.2805599632985153E-2</v>
      </c>
      <c r="BB21" s="57">
        <f t="shared" si="28"/>
        <v>1536</v>
      </c>
      <c r="BC21" s="91">
        <f>VLOOKUP("2001-W03",PAYTABLE,COLUMN(),FALSE)</f>
        <v>48</v>
      </c>
      <c r="BD21" s="58">
        <f t="shared" si="29"/>
        <v>1488</v>
      </c>
      <c r="BE21" s="59">
        <f t="shared" si="30"/>
        <v>4.6553682214803948E-3</v>
      </c>
      <c r="BF21" s="58">
        <f t="shared" si="31"/>
        <v>1409.3763440860216</v>
      </c>
      <c r="BG21" s="58">
        <f>IF(BD21=0,0,CYCLE/SUM($BD$6:BD21))</f>
        <v>345.4376544226651</v>
      </c>
      <c r="BH21" s="59">
        <f t="shared" si="32"/>
        <v>7.0953369140625E-4</v>
      </c>
      <c r="BI21" s="58">
        <f t="shared" si="33"/>
        <v>223200</v>
      </c>
      <c r="BJ21" s="60">
        <f t="shared" si="34"/>
        <v>2.231908491751838E-2</v>
      </c>
    </row>
    <row r="22" spans="2:62" x14ac:dyDescent="0.2">
      <c r="B22" s="44" t="s">
        <v>145</v>
      </c>
      <c r="C22" s="33" t="s">
        <v>30</v>
      </c>
      <c r="D22" s="33" t="s">
        <v>30</v>
      </c>
      <c r="E22" s="33" t="s">
        <v>34</v>
      </c>
      <c r="F22" s="120"/>
      <c r="H22" s="51">
        <f>VLOOKUP("2001-W29",PAYTABLE,COLUMN()-1,FALSE)*2</f>
        <v>30</v>
      </c>
      <c r="I22" s="52">
        <f>VLOOKUP("2001-W29",PAYTABLE,COLUMN()-1,FALSE)*2</f>
        <v>60</v>
      </c>
      <c r="J22" s="52">
        <f>VLOOKUP("2001-W29",PAYTABLE,COLUMN()-1,FALSE)*2</f>
        <v>90</v>
      </c>
      <c r="K22" s="52">
        <f>VLOOKUP("2001-W29",PAYTABLE,COLUMN()-1,FALSE)*2</f>
        <v>120</v>
      </c>
      <c r="L22" s="53">
        <f>VLOOKUP("2001-W29",PAYTABLE,COLUMN()-1,FALSE)*2</f>
        <v>150</v>
      </c>
      <c r="N22" s="57">
        <f t="shared" si="0"/>
        <v>400</v>
      </c>
      <c r="O22" s="91"/>
      <c r="P22" s="58">
        <f t="shared" si="1"/>
        <v>400</v>
      </c>
      <c r="Q22" s="59">
        <f t="shared" si="2"/>
        <v>1.4936017833605294E-3</v>
      </c>
      <c r="R22" s="58">
        <f t="shared" si="3"/>
        <v>5242.88</v>
      </c>
      <c r="S22" s="58">
        <f>IF(P22=0,0,CYCLE/SUM($P$6:P22))</f>
        <v>362.64084385267165</v>
      </c>
      <c r="T22" s="59">
        <f t="shared" si="4"/>
        <v>1.9073486328125E-4</v>
      </c>
      <c r="U22" s="58">
        <f t="shared" si="5"/>
        <v>12000</v>
      </c>
      <c r="V22" s="60">
        <f t="shared" si="6"/>
        <v>6.5062866995234149E-3</v>
      </c>
      <c r="X22" s="57">
        <f t="shared" si="7"/>
        <v>360</v>
      </c>
      <c r="Y22" s="91"/>
      <c r="Z22" s="58">
        <f t="shared" si="8"/>
        <v>360</v>
      </c>
      <c r="AA22" s="59">
        <f t="shared" si="9"/>
        <v>1.3373304655024461E-3</v>
      </c>
      <c r="AB22" s="58">
        <f t="shared" si="10"/>
        <v>5825.4222222222224</v>
      </c>
      <c r="AC22" s="58">
        <f>IF(Z22=0,0,CYCLE/SUM($Z$6:Z22))</f>
        <v>338.30488788514276</v>
      </c>
      <c r="AD22" s="59">
        <f t="shared" si="11"/>
        <v>1.71661376953125E-4</v>
      </c>
      <c r="AE22" s="58">
        <f t="shared" si="12"/>
        <v>21600</v>
      </c>
      <c r="AF22" s="60">
        <f t="shared" si="13"/>
        <v>5.734468616527588E-3</v>
      </c>
      <c r="AH22" s="57">
        <f t="shared" si="14"/>
        <v>360</v>
      </c>
      <c r="AI22" s="91"/>
      <c r="AJ22" s="58">
        <f t="shared" si="15"/>
        <v>360</v>
      </c>
      <c r="AK22" s="59">
        <f t="shared" si="16"/>
        <v>1.2602350338338101E-3</v>
      </c>
      <c r="AL22" s="58">
        <f t="shared" si="17"/>
        <v>5825.4222222222224</v>
      </c>
      <c r="AM22" s="58">
        <f>IF(AJ22=0,0,CYCLE/SUM($AJ$6:AJ22))</f>
        <v>346.57940836225418</v>
      </c>
      <c r="AN22" s="59">
        <f t="shared" si="18"/>
        <v>1.71661376953125E-4</v>
      </c>
      <c r="AO22" s="58">
        <f t="shared" si="19"/>
        <v>32400</v>
      </c>
      <c r="AP22" s="60">
        <f t="shared" si="20"/>
        <v>5.6180827356317534E-3</v>
      </c>
      <c r="AR22" s="57">
        <f t="shared" si="21"/>
        <v>360</v>
      </c>
      <c r="AS22" s="91"/>
      <c r="AT22" s="58">
        <f t="shared" si="22"/>
        <v>360</v>
      </c>
      <c r="AU22" s="59">
        <f t="shared" si="23"/>
        <v>1.1817498432540139E-3</v>
      </c>
      <c r="AV22" s="58">
        <f t="shared" si="24"/>
        <v>5825.4222222222224</v>
      </c>
      <c r="AW22" s="58">
        <f>IF(AT22=0,0,CYCLE/SUM($AT$6:AT22))</f>
        <v>405.09020668340736</v>
      </c>
      <c r="AX22" s="59">
        <f t="shared" si="25"/>
        <v>1.71661376953125E-4</v>
      </c>
      <c r="AY22" s="58">
        <f t="shared" si="26"/>
        <v>43200</v>
      </c>
      <c r="AZ22" s="60">
        <f t="shared" si="27"/>
        <v>5.5174837821738276E-3</v>
      </c>
      <c r="BB22" s="57">
        <f t="shared" si="28"/>
        <v>360</v>
      </c>
      <c r="BC22" s="91"/>
      <c r="BD22" s="58">
        <f t="shared" si="29"/>
        <v>360</v>
      </c>
      <c r="BE22" s="59">
        <f t="shared" si="30"/>
        <v>1.1262987632613857E-3</v>
      </c>
      <c r="BF22" s="58">
        <f t="shared" si="31"/>
        <v>5825.4222222222224</v>
      </c>
      <c r="BG22" s="58">
        <f>IF(BD22=0,0,CYCLE/SUM($BD$6:BD22))</f>
        <v>326.10045094075571</v>
      </c>
      <c r="BH22" s="59">
        <f t="shared" si="32"/>
        <v>1.71661376953125E-4</v>
      </c>
      <c r="BI22" s="58">
        <f t="shared" si="33"/>
        <v>54000</v>
      </c>
      <c r="BJ22" s="60">
        <f t="shared" si="34"/>
        <v>5.3997786090770276E-3</v>
      </c>
    </row>
    <row r="23" spans="2:62" x14ac:dyDescent="0.2">
      <c r="B23" s="44" t="s">
        <v>146</v>
      </c>
      <c r="C23" s="33" t="s">
        <v>28</v>
      </c>
      <c r="D23" s="33" t="s">
        <v>28</v>
      </c>
      <c r="E23" s="33" t="s">
        <v>34</v>
      </c>
      <c r="F23" s="120"/>
      <c r="H23" s="51">
        <f>VLOOKUP("2001-W28",PAYTABLE,COLUMN()-1,FALSE)*2</f>
        <v>30</v>
      </c>
      <c r="I23" s="52">
        <f>VLOOKUP("2001-W28",PAYTABLE,COLUMN()-1,FALSE)*2</f>
        <v>60</v>
      </c>
      <c r="J23" s="52">
        <f>VLOOKUP("2001-W28",PAYTABLE,COLUMN()-1,FALSE)*2</f>
        <v>90</v>
      </c>
      <c r="K23" s="52">
        <f>VLOOKUP("2001-W28",PAYTABLE,COLUMN()-1,FALSE)*2</f>
        <v>120</v>
      </c>
      <c r="L23" s="53">
        <f>VLOOKUP("2001-W28",PAYTABLE,COLUMN()-1,FALSE)*2</f>
        <v>150</v>
      </c>
      <c r="N23" s="57">
        <f t="shared" si="0"/>
        <v>480</v>
      </c>
      <c r="O23" s="91"/>
      <c r="P23" s="58">
        <f t="shared" si="1"/>
        <v>480</v>
      </c>
      <c r="Q23" s="59">
        <f t="shared" si="2"/>
        <v>1.7923221400326353E-3</v>
      </c>
      <c r="R23" s="58">
        <f t="shared" si="3"/>
        <v>4369.0666666666666</v>
      </c>
      <c r="S23" s="58">
        <f>IF(P23=0,0,CYCLE/SUM($P$6:P23))</f>
        <v>334.84783650007984</v>
      </c>
      <c r="T23" s="59">
        <f t="shared" si="4"/>
        <v>2.288818359375E-4</v>
      </c>
      <c r="U23" s="58">
        <f t="shared" si="5"/>
        <v>14400</v>
      </c>
      <c r="V23" s="60">
        <f t="shared" si="6"/>
        <v>7.8075440394280975E-3</v>
      </c>
      <c r="X23" s="57">
        <f t="shared" si="7"/>
        <v>480</v>
      </c>
      <c r="Y23" s="91"/>
      <c r="Z23" s="58">
        <f t="shared" si="8"/>
        <v>480</v>
      </c>
      <c r="AA23" s="59">
        <f t="shared" si="9"/>
        <v>1.783107287336595E-3</v>
      </c>
      <c r="AB23" s="58">
        <f t="shared" si="10"/>
        <v>4369.0666666666666</v>
      </c>
      <c r="AC23" s="58">
        <f>IF(Z23=0,0,CYCLE/SUM($Z$6:Z23))</f>
        <v>313.99191495732896</v>
      </c>
      <c r="AD23" s="59">
        <f t="shared" si="11"/>
        <v>2.288818359375E-4</v>
      </c>
      <c r="AE23" s="58">
        <f t="shared" si="12"/>
        <v>28800</v>
      </c>
      <c r="AF23" s="60">
        <f t="shared" si="13"/>
        <v>7.6459581553701174E-3</v>
      </c>
      <c r="AH23" s="57">
        <f t="shared" si="14"/>
        <v>480</v>
      </c>
      <c r="AI23" s="91"/>
      <c r="AJ23" s="58">
        <f t="shared" si="15"/>
        <v>480</v>
      </c>
      <c r="AK23" s="59">
        <f t="shared" si="16"/>
        <v>1.6803133784450801E-3</v>
      </c>
      <c r="AL23" s="58">
        <f t="shared" si="17"/>
        <v>4369.0666666666666</v>
      </c>
      <c r="AM23" s="58">
        <f>IF(AJ23=0,0,CYCLE/SUM($AJ$6:AJ23))</f>
        <v>321.10733425202881</v>
      </c>
      <c r="AN23" s="59">
        <f t="shared" si="18"/>
        <v>2.288818359375E-4</v>
      </c>
      <c r="AO23" s="58">
        <f t="shared" si="19"/>
        <v>43200</v>
      </c>
      <c r="AP23" s="60">
        <f t="shared" si="20"/>
        <v>7.4907769808423381E-3</v>
      </c>
      <c r="AR23" s="57">
        <f t="shared" si="21"/>
        <v>480</v>
      </c>
      <c r="AS23" s="91"/>
      <c r="AT23" s="58">
        <f t="shared" si="22"/>
        <v>480</v>
      </c>
      <c r="AU23" s="59">
        <f t="shared" si="23"/>
        <v>1.5756664576720184E-3</v>
      </c>
      <c r="AV23" s="58">
        <f t="shared" si="24"/>
        <v>4369.0666666666666</v>
      </c>
      <c r="AW23" s="58">
        <f>IF(AT23=0,0,CYCLE/SUM($AT$6:AT23))</f>
        <v>370.71804843556657</v>
      </c>
      <c r="AX23" s="59">
        <f t="shared" si="25"/>
        <v>2.288818359375E-4</v>
      </c>
      <c r="AY23" s="58">
        <f t="shared" si="26"/>
        <v>57600</v>
      </c>
      <c r="AZ23" s="60">
        <f t="shared" si="27"/>
        <v>7.3566450428984367E-3</v>
      </c>
      <c r="BB23" s="57">
        <f t="shared" si="28"/>
        <v>480</v>
      </c>
      <c r="BC23" s="91"/>
      <c r="BD23" s="58">
        <f t="shared" si="29"/>
        <v>480</v>
      </c>
      <c r="BE23" s="59">
        <f t="shared" si="30"/>
        <v>1.5017316843485143E-3</v>
      </c>
      <c r="BF23" s="58">
        <f t="shared" si="31"/>
        <v>4369.0666666666666</v>
      </c>
      <c r="BG23" s="58">
        <f>IF(BD23=0,0,CYCLE/SUM($BD$6:BD23))</f>
        <v>303.4513095065837</v>
      </c>
      <c r="BH23" s="59">
        <f t="shared" si="32"/>
        <v>2.288818359375E-4</v>
      </c>
      <c r="BI23" s="58">
        <f t="shared" si="33"/>
        <v>72000</v>
      </c>
      <c r="BJ23" s="60">
        <f t="shared" si="34"/>
        <v>7.199704812102704E-3</v>
      </c>
    </row>
    <row r="24" spans="2:62" x14ac:dyDescent="0.2">
      <c r="B24" s="44" t="s">
        <v>147</v>
      </c>
      <c r="C24" s="33" t="s">
        <v>29</v>
      </c>
      <c r="D24" s="33" t="s">
        <v>29</v>
      </c>
      <c r="E24" s="33" t="s">
        <v>45</v>
      </c>
      <c r="F24" s="120"/>
      <c r="H24" s="51">
        <f>VLOOKUP("2001-W20",PAYTABLE,COLUMN()-1,FALSE)</f>
        <v>25</v>
      </c>
      <c r="I24" s="52">
        <f>VLOOKUP("2001-W20",PAYTABLE,COLUMN()-1,FALSE)</f>
        <v>50</v>
      </c>
      <c r="J24" s="52">
        <f>VLOOKUP("2001-W20",PAYTABLE,COLUMN()-1,FALSE)</f>
        <v>75</v>
      </c>
      <c r="K24" s="52">
        <f>VLOOKUP("2001-W20",PAYTABLE,COLUMN()-1,FALSE)</f>
        <v>100</v>
      </c>
      <c r="L24" s="53">
        <f>VLOOKUP("2001-W20",PAYTABLE,COLUMN()-1,FALSE)</f>
        <v>125</v>
      </c>
      <c r="N24" s="57">
        <f t="shared" si="0"/>
        <v>256</v>
      </c>
      <c r="O24" s="91"/>
      <c r="P24" s="58">
        <f t="shared" si="1"/>
        <v>256</v>
      </c>
      <c r="Q24" s="59">
        <f t="shared" si="2"/>
        <v>9.5590514135073879E-4</v>
      </c>
      <c r="R24" s="58">
        <f t="shared" si="3"/>
        <v>8192</v>
      </c>
      <c r="S24" s="58">
        <f>IF(P24=0,0,CYCLE/SUM($P$6:P24))</f>
        <v>321.69842000306795</v>
      </c>
      <c r="T24" s="59">
        <f t="shared" si="4"/>
        <v>1.220703125E-4</v>
      </c>
      <c r="U24" s="58">
        <f t="shared" si="5"/>
        <v>6400</v>
      </c>
      <c r="V24" s="60">
        <f t="shared" si="6"/>
        <v>3.4700195730791544E-3</v>
      </c>
      <c r="X24" s="57">
        <f t="shared" si="7"/>
        <v>256</v>
      </c>
      <c r="Y24" s="91"/>
      <c r="Z24" s="58">
        <f t="shared" si="8"/>
        <v>256</v>
      </c>
      <c r="AA24" s="59">
        <f t="shared" si="9"/>
        <v>9.5099055324618397E-4</v>
      </c>
      <c r="AB24" s="58">
        <f t="shared" si="10"/>
        <v>8192</v>
      </c>
      <c r="AC24" s="58">
        <f>IF(Z24=0,0,CYCLE/SUM($Z$6:Z24))</f>
        <v>302.40115356885366</v>
      </c>
      <c r="AD24" s="59">
        <f t="shared" si="11"/>
        <v>1.220703125E-4</v>
      </c>
      <c r="AE24" s="58">
        <f t="shared" si="12"/>
        <v>12800</v>
      </c>
      <c r="AF24" s="60">
        <f t="shared" si="13"/>
        <v>3.3982036246089412E-3</v>
      </c>
      <c r="AH24" s="57">
        <f t="shared" si="14"/>
        <v>256</v>
      </c>
      <c r="AI24" s="91"/>
      <c r="AJ24" s="58">
        <f t="shared" si="15"/>
        <v>256</v>
      </c>
      <c r="AK24" s="59">
        <f t="shared" si="16"/>
        <v>8.9616713517070938E-4</v>
      </c>
      <c r="AL24" s="58">
        <f t="shared" si="17"/>
        <v>8192</v>
      </c>
      <c r="AM24" s="58">
        <f>IF(AJ24=0,0,CYCLE/SUM($AJ$6:AJ24))</f>
        <v>308.99543244437893</v>
      </c>
      <c r="AN24" s="59">
        <f t="shared" si="18"/>
        <v>1.220703125E-4</v>
      </c>
      <c r="AO24" s="58">
        <f t="shared" si="19"/>
        <v>19200</v>
      </c>
      <c r="AP24" s="60">
        <f t="shared" si="20"/>
        <v>3.3292342137077055E-3</v>
      </c>
      <c r="AR24" s="57">
        <f t="shared" si="21"/>
        <v>256</v>
      </c>
      <c r="AS24" s="91"/>
      <c r="AT24" s="58">
        <f t="shared" si="22"/>
        <v>256</v>
      </c>
      <c r="AU24" s="59">
        <f t="shared" si="23"/>
        <v>8.4035544409174318E-4</v>
      </c>
      <c r="AV24" s="58">
        <f t="shared" si="24"/>
        <v>8192</v>
      </c>
      <c r="AW24" s="58">
        <f>IF(AT24=0,0,CYCLE/SUM($AT$6:AT24))</f>
        <v>354.66801961779129</v>
      </c>
      <c r="AX24" s="59">
        <f t="shared" si="25"/>
        <v>1.220703125E-4</v>
      </c>
      <c r="AY24" s="58">
        <f t="shared" si="26"/>
        <v>25600</v>
      </c>
      <c r="AZ24" s="60">
        <f t="shared" si="27"/>
        <v>3.2696200190659719E-3</v>
      </c>
      <c r="BB24" s="57">
        <f t="shared" si="28"/>
        <v>256</v>
      </c>
      <c r="BC24" s="91"/>
      <c r="BD24" s="58">
        <f t="shared" si="29"/>
        <v>256</v>
      </c>
      <c r="BE24" s="59">
        <f t="shared" si="30"/>
        <v>8.0092356498587432E-4</v>
      </c>
      <c r="BF24" s="58">
        <f t="shared" si="31"/>
        <v>8192</v>
      </c>
      <c r="BG24" s="58">
        <f>IF(BD24=0,0,CYCLE/SUM($BD$6:BD24))</f>
        <v>292.61225059299568</v>
      </c>
      <c r="BH24" s="59">
        <f t="shared" si="32"/>
        <v>1.220703125E-4</v>
      </c>
      <c r="BI24" s="58">
        <f t="shared" si="33"/>
        <v>32000</v>
      </c>
      <c r="BJ24" s="60">
        <f t="shared" si="34"/>
        <v>3.1998688053789795E-3</v>
      </c>
    </row>
    <row r="25" spans="2:62" x14ac:dyDescent="0.2">
      <c r="B25" s="44" t="s">
        <v>148</v>
      </c>
      <c r="C25" s="33" t="s">
        <v>29</v>
      </c>
      <c r="D25" s="33" t="s">
        <v>29</v>
      </c>
      <c r="E25" s="33" t="s">
        <v>29</v>
      </c>
      <c r="F25" s="120"/>
      <c r="H25" s="48">
        <v>25</v>
      </c>
      <c r="I25" s="49">
        <v>50</v>
      </c>
      <c r="J25" s="49">
        <v>75</v>
      </c>
      <c r="K25" s="49">
        <v>100</v>
      </c>
      <c r="L25" s="50">
        <v>125</v>
      </c>
      <c r="N25" s="57">
        <f t="shared" si="0"/>
        <v>384</v>
      </c>
      <c r="O25" s="91"/>
      <c r="P25" s="58">
        <f t="shared" si="1"/>
        <v>384</v>
      </c>
      <c r="Q25" s="59">
        <f t="shared" si="2"/>
        <v>1.4338577120261082E-3</v>
      </c>
      <c r="R25" s="58">
        <f t="shared" si="3"/>
        <v>5461.333333333333</v>
      </c>
      <c r="S25" s="58">
        <f>IF(P25=0,0,CYCLE/SUM($P$6:P25))</f>
        <v>303.80298420976385</v>
      </c>
      <c r="T25" s="59">
        <f t="shared" si="4"/>
        <v>1.8310546875E-4</v>
      </c>
      <c r="U25" s="58">
        <f t="shared" si="5"/>
        <v>9600</v>
      </c>
      <c r="V25" s="60">
        <f t="shared" si="6"/>
        <v>5.2050293596187314E-3</v>
      </c>
      <c r="X25" s="57">
        <f t="shared" si="7"/>
        <v>384</v>
      </c>
      <c r="Y25" s="91"/>
      <c r="Z25" s="58">
        <f t="shared" si="8"/>
        <v>384</v>
      </c>
      <c r="AA25" s="59">
        <f t="shared" si="9"/>
        <v>1.4264858298692759E-3</v>
      </c>
      <c r="AB25" s="58">
        <f t="shared" si="10"/>
        <v>5461.333333333333</v>
      </c>
      <c r="AC25" s="58">
        <f>IF(Z25=0,0,CYCLE/SUM($Z$6:Z25))</f>
        <v>286.53531903265474</v>
      </c>
      <c r="AD25" s="59">
        <f t="shared" si="11"/>
        <v>1.8310546875E-4</v>
      </c>
      <c r="AE25" s="58">
        <f t="shared" si="12"/>
        <v>19200</v>
      </c>
      <c r="AF25" s="60">
        <f t="shared" si="13"/>
        <v>5.0973054369134116E-3</v>
      </c>
      <c r="AH25" s="57">
        <f t="shared" si="14"/>
        <v>384</v>
      </c>
      <c r="AI25" s="91"/>
      <c r="AJ25" s="58">
        <f t="shared" si="15"/>
        <v>384</v>
      </c>
      <c r="AK25" s="59">
        <f t="shared" si="16"/>
        <v>1.344250702756064E-3</v>
      </c>
      <c r="AL25" s="58">
        <f t="shared" si="17"/>
        <v>5461.333333333333</v>
      </c>
      <c r="AM25" s="58">
        <f>IF(AJ25=0,0,CYCLE/SUM($AJ$6:AJ25))</f>
        <v>292.44903081857484</v>
      </c>
      <c r="AN25" s="59">
        <f t="shared" si="18"/>
        <v>1.8310546875E-4</v>
      </c>
      <c r="AO25" s="58">
        <f t="shared" si="19"/>
        <v>28800</v>
      </c>
      <c r="AP25" s="60">
        <f t="shared" si="20"/>
        <v>4.9938513205615587E-3</v>
      </c>
      <c r="AR25" s="57">
        <f t="shared" si="21"/>
        <v>384</v>
      </c>
      <c r="AS25" s="91"/>
      <c r="AT25" s="58">
        <f t="shared" si="22"/>
        <v>384</v>
      </c>
      <c r="AU25" s="59">
        <f t="shared" si="23"/>
        <v>1.2605331661376148E-3</v>
      </c>
      <c r="AV25" s="58">
        <f t="shared" si="24"/>
        <v>5461.333333333333</v>
      </c>
      <c r="AW25" s="58">
        <f>IF(AT25=0,0,CYCLE/SUM($AT$6:AT25))</f>
        <v>333.03986025091314</v>
      </c>
      <c r="AX25" s="59">
        <f t="shared" si="25"/>
        <v>1.8310546875E-4</v>
      </c>
      <c r="AY25" s="58">
        <f t="shared" si="26"/>
        <v>38400</v>
      </c>
      <c r="AZ25" s="60">
        <f t="shared" si="27"/>
        <v>4.9044300285989578E-3</v>
      </c>
      <c r="BB25" s="57">
        <f t="shared" si="28"/>
        <v>384</v>
      </c>
      <c r="BC25" s="91"/>
      <c r="BD25" s="58">
        <f t="shared" si="29"/>
        <v>384</v>
      </c>
      <c r="BE25" s="59">
        <f t="shared" si="30"/>
        <v>1.2013853474788115E-3</v>
      </c>
      <c r="BF25" s="58">
        <f t="shared" si="31"/>
        <v>5461.333333333333</v>
      </c>
      <c r="BG25" s="58">
        <f>IF(BD25=0,0,CYCLE/SUM($BD$6:BD25))</f>
        <v>277.7316911667329</v>
      </c>
      <c r="BH25" s="59">
        <f t="shared" si="32"/>
        <v>1.8310546875E-4</v>
      </c>
      <c r="BI25" s="58">
        <f t="shared" si="33"/>
        <v>48000</v>
      </c>
      <c r="BJ25" s="60">
        <f t="shared" si="34"/>
        <v>4.7998032080684688E-3</v>
      </c>
    </row>
    <row r="26" spans="2:62" x14ac:dyDescent="0.2">
      <c r="B26" s="44" t="s">
        <v>149</v>
      </c>
      <c r="C26" s="33" t="s">
        <v>27</v>
      </c>
      <c r="D26" s="33" t="s">
        <v>27</v>
      </c>
      <c r="E26" s="33" t="s">
        <v>45</v>
      </c>
      <c r="F26" s="120"/>
      <c r="H26" s="51">
        <f>VLOOKUP("2001-W22",PAYTABLE,COLUMN()-1,FALSE)</f>
        <v>25</v>
      </c>
      <c r="I26" s="52">
        <f>VLOOKUP("2001-W22",PAYTABLE,COLUMN()-1,FALSE)</f>
        <v>50</v>
      </c>
      <c r="J26" s="52">
        <f>VLOOKUP("2001-W22",PAYTABLE,COLUMN()-1,FALSE)</f>
        <v>75</v>
      </c>
      <c r="K26" s="52">
        <f>VLOOKUP("2001-W22",PAYTABLE,COLUMN()-1,FALSE)</f>
        <v>100</v>
      </c>
      <c r="L26" s="53">
        <f>VLOOKUP("2001-W22",PAYTABLE,COLUMN()-1,FALSE)</f>
        <v>125</v>
      </c>
      <c r="N26" s="57">
        <f t="shared" si="0"/>
        <v>144</v>
      </c>
      <c r="O26" s="91"/>
      <c r="P26" s="58">
        <f t="shared" si="1"/>
        <v>144</v>
      </c>
      <c r="Q26" s="59">
        <f t="shared" si="2"/>
        <v>5.3769664200979054E-4</v>
      </c>
      <c r="R26" s="58">
        <f t="shared" si="3"/>
        <v>14563.555555555555</v>
      </c>
      <c r="S26" s="58">
        <f>IF(P26=0,0,CYCLE/SUM($P$6:P26))</f>
        <v>297.59500496665248</v>
      </c>
      <c r="T26" s="59">
        <f t="shared" si="4"/>
        <v>6.866455078125E-5</v>
      </c>
      <c r="U26" s="58">
        <f t="shared" si="5"/>
        <v>3600</v>
      </c>
      <c r="V26" s="60">
        <f t="shared" si="6"/>
        <v>1.9518860098570244E-3</v>
      </c>
      <c r="X26" s="57">
        <f t="shared" si="7"/>
        <v>144</v>
      </c>
      <c r="Y26" s="91"/>
      <c r="Z26" s="58">
        <f t="shared" si="8"/>
        <v>144</v>
      </c>
      <c r="AA26" s="59">
        <f t="shared" si="9"/>
        <v>5.3493218620097847E-4</v>
      </c>
      <c r="AB26" s="58">
        <f t="shared" si="10"/>
        <v>14563.555555555555</v>
      </c>
      <c r="AC26" s="58">
        <f>IF(Z26=0,0,CYCLE/SUM($Z$6:Z26))</f>
        <v>281.00656572423958</v>
      </c>
      <c r="AD26" s="59">
        <f t="shared" si="11"/>
        <v>6.866455078125E-5</v>
      </c>
      <c r="AE26" s="58">
        <f t="shared" si="12"/>
        <v>7200</v>
      </c>
      <c r="AF26" s="60">
        <f t="shared" si="13"/>
        <v>1.9114895388425293E-3</v>
      </c>
      <c r="AH26" s="57">
        <f t="shared" si="14"/>
        <v>144</v>
      </c>
      <c r="AI26" s="91"/>
      <c r="AJ26" s="58">
        <f t="shared" si="15"/>
        <v>144</v>
      </c>
      <c r="AK26" s="59">
        <f t="shared" si="16"/>
        <v>5.0409401353352398E-4</v>
      </c>
      <c r="AL26" s="58">
        <f t="shared" si="17"/>
        <v>14563.555555555555</v>
      </c>
      <c r="AM26" s="58">
        <f>IF(AJ26=0,0,CYCLE/SUM($AJ$6:AJ26))</f>
        <v>286.69200273410797</v>
      </c>
      <c r="AN26" s="59">
        <f t="shared" si="18"/>
        <v>6.866455078125E-5</v>
      </c>
      <c r="AO26" s="58">
        <f t="shared" si="19"/>
        <v>10800</v>
      </c>
      <c r="AP26" s="60">
        <f t="shared" si="20"/>
        <v>1.8726942452105845E-3</v>
      </c>
      <c r="AR26" s="57">
        <f t="shared" si="21"/>
        <v>144</v>
      </c>
      <c r="AS26" s="91"/>
      <c r="AT26" s="58">
        <f t="shared" si="22"/>
        <v>144</v>
      </c>
      <c r="AU26" s="59">
        <f t="shared" si="23"/>
        <v>4.7269993730160556E-4</v>
      </c>
      <c r="AV26" s="58">
        <f t="shared" si="24"/>
        <v>14563.555555555555</v>
      </c>
      <c r="AW26" s="58">
        <f>IF(AT26=0,0,CYCLE/SUM($AT$6:AT26))</f>
        <v>325.59416239714329</v>
      </c>
      <c r="AX26" s="59">
        <f t="shared" si="25"/>
        <v>6.866455078125E-5</v>
      </c>
      <c r="AY26" s="58">
        <f t="shared" si="26"/>
        <v>14400</v>
      </c>
      <c r="AZ26" s="60">
        <f t="shared" si="27"/>
        <v>1.8391612607246092E-3</v>
      </c>
      <c r="BB26" s="57">
        <f t="shared" si="28"/>
        <v>144</v>
      </c>
      <c r="BC26" s="91"/>
      <c r="BD26" s="58">
        <f t="shared" si="29"/>
        <v>144</v>
      </c>
      <c r="BE26" s="59">
        <f t="shared" si="30"/>
        <v>4.505195053045543E-4</v>
      </c>
      <c r="BF26" s="58">
        <f t="shared" si="31"/>
        <v>14563.555555555555</v>
      </c>
      <c r="BG26" s="58">
        <f>IF(BD26=0,0,CYCLE/SUM($BD$6:BD26))</f>
        <v>272.53437296946066</v>
      </c>
      <c r="BH26" s="59">
        <f t="shared" si="32"/>
        <v>6.866455078125E-5</v>
      </c>
      <c r="BI26" s="58">
        <f t="shared" si="33"/>
        <v>18000</v>
      </c>
      <c r="BJ26" s="60">
        <f t="shared" si="34"/>
        <v>1.799926203025676E-3</v>
      </c>
    </row>
    <row r="27" spans="2:62" x14ac:dyDescent="0.2">
      <c r="B27" s="44" t="s">
        <v>150</v>
      </c>
      <c r="C27" s="33" t="s">
        <v>27</v>
      </c>
      <c r="D27" s="33" t="s">
        <v>27</v>
      </c>
      <c r="E27" s="33" t="s">
        <v>27</v>
      </c>
      <c r="F27" s="120"/>
      <c r="H27" s="48">
        <v>25</v>
      </c>
      <c r="I27" s="49">
        <v>50</v>
      </c>
      <c r="J27" s="49">
        <v>75</v>
      </c>
      <c r="K27" s="49">
        <v>100</v>
      </c>
      <c r="L27" s="50">
        <v>125</v>
      </c>
      <c r="N27" s="57">
        <f t="shared" si="0"/>
        <v>216</v>
      </c>
      <c r="O27" s="91"/>
      <c r="P27" s="58">
        <f t="shared" si="1"/>
        <v>216</v>
      </c>
      <c r="Q27" s="59">
        <f t="shared" si="2"/>
        <v>8.0654496301468587E-4</v>
      </c>
      <c r="R27" s="58">
        <f t="shared" si="3"/>
        <v>9709.0370370370365</v>
      </c>
      <c r="S27" s="58">
        <f>IF(P27=0,0,CYCLE/SUM($P$6:P27))</f>
        <v>288.74459589701223</v>
      </c>
      <c r="T27" s="59">
        <f t="shared" si="4"/>
        <v>1.02996826171875E-4</v>
      </c>
      <c r="U27" s="58">
        <f t="shared" si="5"/>
        <v>5400</v>
      </c>
      <c r="V27" s="60">
        <f t="shared" si="6"/>
        <v>2.9278290147855364E-3</v>
      </c>
      <c r="X27" s="57">
        <f t="shared" si="7"/>
        <v>216</v>
      </c>
      <c r="Y27" s="91"/>
      <c r="Z27" s="58">
        <f t="shared" si="8"/>
        <v>216</v>
      </c>
      <c r="AA27" s="59">
        <f t="shared" si="9"/>
        <v>8.0239827930146776E-4</v>
      </c>
      <c r="AB27" s="58">
        <f t="shared" si="10"/>
        <v>9709.0370370370365</v>
      </c>
      <c r="AC27" s="58">
        <f>IF(Z27=0,0,CYCLE/SUM($Z$6:Z27))</f>
        <v>273.10222685245475</v>
      </c>
      <c r="AD27" s="59">
        <f t="shared" si="11"/>
        <v>1.02996826171875E-4</v>
      </c>
      <c r="AE27" s="58">
        <f t="shared" si="12"/>
        <v>10800</v>
      </c>
      <c r="AF27" s="60">
        <f t="shared" si="13"/>
        <v>2.867234308263794E-3</v>
      </c>
      <c r="AH27" s="57">
        <f t="shared" si="14"/>
        <v>216</v>
      </c>
      <c r="AI27" s="91"/>
      <c r="AJ27" s="58">
        <f t="shared" si="15"/>
        <v>216</v>
      </c>
      <c r="AK27" s="59">
        <f t="shared" si="16"/>
        <v>7.5614102030028597E-4</v>
      </c>
      <c r="AL27" s="58">
        <f t="shared" si="17"/>
        <v>9709.0370370370365</v>
      </c>
      <c r="AM27" s="58">
        <f>IF(AJ27=0,0,CYCLE/SUM($AJ$6:AJ27))</f>
        <v>278.46926039038641</v>
      </c>
      <c r="AN27" s="59">
        <f t="shared" si="18"/>
        <v>1.02996826171875E-4</v>
      </c>
      <c r="AO27" s="58">
        <f t="shared" si="19"/>
        <v>16200</v>
      </c>
      <c r="AP27" s="60">
        <f t="shared" si="20"/>
        <v>2.8090413678158767E-3</v>
      </c>
      <c r="AR27" s="57">
        <f t="shared" si="21"/>
        <v>216</v>
      </c>
      <c r="AS27" s="91"/>
      <c r="AT27" s="58">
        <f t="shared" si="22"/>
        <v>216</v>
      </c>
      <c r="AU27" s="59">
        <f t="shared" si="23"/>
        <v>7.0904990595240826E-4</v>
      </c>
      <c r="AV27" s="58">
        <f t="shared" si="24"/>
        <v>9709.0370370370365</v>
      </c>
      <c r="AW27" s="58">
        <f>IF(AT27=0,0,CYCLE/SUM($AT$6:AT27))</f>
        <v>315.0295929097191</v>
      </c>
      <c r="AX27" s="59">
        <f t="shared" si="25"/>
        <v>1.02996826171875E-4</v>
      </c>
      <c r="AY27" s="58">
        <f t="shared" si="26"/>
        <v>21600</v>
      </c>
      <c r="AZ27" s="60">
        <f t="shared" si="27"/>
        <v>2.7587418910869138E-3</v>
      </c>
      <c r="BB27" s="57">
        <f t="shared" si="28"/>
        <v>216</v>
      </c>
      <c r="BC27" s="91"/>
      <c r="BD27" s="58">
        <f t="shared" si="29"/>
        <v>216</v>
      </c>
      <c r="BE27" s="59">
        <f t="shared" si="30"/>
        <v>6.7577925795683151E-4</v>
      </c>
      <c r="BF27" s="58">
        <f t="shared" si="31"/>
        <v>9709.0370370370365</v>
      </c>
      <c r="BG27" s="58">
        <f>IF(BD27=0,0,CYCLE/SUM($BD$6:BD27))</f>
        <v>265.0931614208065</v>
      </c>
      <c r="BH27" s="59">
        <f t="shared" si="32"/>
        <v>1.02996826171875E-4</v>
      </c>
      <c r="BI27" s="58">
        <f t="shared" si="33"/>
        <v>27000</v>
      </c>
      <c r="BJ27" s="60">
        <f t="shared" si="34"/>
        <v>2.6998893045385138E-3</v>
      </c>
    </row>
    <row r="28" spans="2:62" ht="15" x14ac:dyDescent="0.25">
      <c r="B28" s="44" t="s">
        <v>151</v>
      </c>
      <c r="C28" s="33" t="s">
        <v>40</v>
      </c>
      <c r="D28" s="33" t="s">
        <v>40</v>
      </c>
      <c r="E28" s="33" t="s">
        <v>40</v>
      </c>
      <c r="F28" s="96" t="s">
        <v>117</v>
      </c>
      <c r="H28" s="48">
        <v>20</v>
      </c>
      <c r="I28" s="49">
        <v>40</v>
      </c>
      <c r="J28" s="49">
        <v>60</v>
      </c>
      <c r="K28" s="49">
        <v>80</v>
      </c>
      <c r="L28" s="50">
        <v>100</v>
      </c>
      <c r="N28" s="57">
        <f t="shared" si="0"/>
        <v>3840</v>
      </c>
      <c r="O28" s="58"/>
      <c r="P28" s="58">
        <f t="shared" si="1"/>
        <v>3840</v>
      </c>
      <c r="Q28" s="59">
        <f t="shared" si="2"/>
        <v>1.4338577120261082E-2</v>
      </c>
      <c r="R28" s="58">
        <f t="shared" si="3"/>
        <v>546.13333333333333</v>
      </c>
      <c r="S28" s="58">
        <f>IF(P28=0,0,CYCLE/SUM($P$6:P28))</f>
        <v>188.88156354138522</v>
      </c>
      <c r="T28" s="59">
        <f t="shared" si="4"/>
        <v>1.8310546875E-3</v>
      </c>
      <c r="U28" s="58">
        <f t="shared" si="5"/>
        <v>76800</v>
      </c>
      <c r="V28" s="60">
        <f t="shared" si="6"/>
        <v>4.1640234876949851E-2</v>
      </c>
      <c r="X28" s="57">
        <f t="shared" si="7"/>
        <v>3600</v>
      </c>
      <c r="Y28" s="58"/>
      <c r="Z28" s="58">
        <f t="shared" si="8"/>
        <v>3600</v>
      </c>
      <c r="AA28" s="59">
        <f t="shared" si="9"/>
        <v>1.3373304655024463E-2</v>
      </c>
      <c r="AB28" s="58">
        <f t="shared" si="10"/>
        <v>582.54222222222222</v>
      </c>
      <c r="AC28" s="58">
        <f>IF(Z28=0,0,CYCLE/SUM($Z$6:Z28))</f>
        <v>185.93421402606614</v>
      </c>
      <c r="AD28" s="59">
        <f t="shared" si="11"/>
        <v>1.71661376953125E-3</v>
      </c>
      <c r="AE28" s="58">
        <f t="shared" si="12"/>
        <v>144000</v>
      </c>
      <c r="AF28" s="60">
        <f t="shared" si="13"/>
        <v>3.822979077685059E-2</v>
      </c>
      <c r="AH28" s="57">
        <f t="shared" si="14"/>
        <v>3840</v>
      </c>
      <c r="AI28" s="58"/>
      <c r="AJ28" s="58">
        <f t="shared" si="15"/>
        <v>3840</v>
      </c>
      <c r="AK28" s="59">
        <f t="shared" si="16"/>
        <v>1.3442507027560641E-2</v>
      </c>
      <c r="AL28" s="58">
        <f t="shared" si="17"/>
        <v>546.13333333333333</v>
      </c>
      <c r="AM28" s="58">
        <f>IF(AJ28=0,0,CYCLE/SUM($AJ$6:AJ28))</f>
        <v>184.42986544719022</v>
      </c>
      <c r="AN28" s="59">
        <f t="shared" si="18"/>
        <v>1.8310546875E-3</v>
      </c>
      <c r="AO28" s="58">
        <f t="shared" si="19"/>
        <v>230400</v>
      </c>
      <c r="AP28" s="60">
        <f t="shared" si="20"/>
        <v>3.995081056449247E-2</v>
      </c>
      <c r="AR28" s="57">
        <f t="shared" si="21"/>
        <v>5760</v>
      </c>
      <c r="AS28" s="58"/>
      <c r="AT28" s="58">
        <f t="shared" si="22"/>
        <v>5760</v>
      </c>
      <c r="AU28" s="59">
        <f t="shared" si="23"/>
        <v>1.8907997492064222E-2</v>
      </c>
      <c r="AV28" s="58">
        <f t="shared" si="24"/>
        <v>364.0888888888889</v>
      </c>
      <c r="AW28" s="58">
        <f>IF(AT28=0,0,CYCLE/SUM($AT$6:AT28))</f>
        <v>168.89361359426593</v>
      </c>
      <c r="AX28" s="59">
        <f t="shared" si="25"/>
        <v>2.74658203125E-3</v>
      </c>
      <c r="AY28" s="58">
        <f t="shared" si="26"/>
        <v>460800</v>
      </c>
      <c r="AZ28" s="60">
        <f t="shared" si="27"/>
        <v>5.8853160343187494E-2</v>
      </c>
      <c r="BB28" s="57">
        <f t="shared" si="28"/>
        <v>3120</v>
      </c>
      <c r="BC28" s="58"/>
      <c r="BD28" s="58">
        <f t="shared" si="29"/>
        <v>3120</v>
      </c>
      <c r="BE28" s="59">
        <f t="shared" si="30"/>
        <v>9.7612559482653429E-3</v>
      </c>
      <c r="BF28" s="58">
        <f t="shared" si="31"/>
        <v>672.16410256410256</v>
      </c>
      <c r="BG28" s="58">
        <f>IF(BD28=0,0,CYCLE/SUM($BD$6:BD28))</f>
        <v>190.11440485903364</v>
      </c>
      <c r="BH28" s="59">
        <f t="shared" si="32"/>
        <v>1.48773193359375E-3</v>
      </c>
      <c r="BI28" s="58">
        <f t="shared" si="33"/>
        <v>312000</v>
      </c>
      <c r="BJ28" s="60">
        <f t="shared" si="34"/>
        <v>3.1198720852445051E-2</v>
      </c>
    </row>
    <row r="29" spans="2:62" x14ac:dyDescent="0.2">
      <c r="B29" s="44" t="s">
        <v>152</v>
      </c>
      <c r="C29" s="33" t="s">
        <v>38</v>
      </c>
      <c r="D29" s="33" t="s">
        <v>38</v>
      </c>
      <c r="E29" s="33" t="s">
        <v>44</v>
      </c>
      <c r="F29" s="120"/>
      <c r="H29" s="48">
        <v>20</v>
      </c>
      <c r="I29" s="49">
        <v>40</v>
      </c>
      <c r="J29" s="49">
        <v>60</v>
      </c>
      <c r="K29" s="49">
        <v>80</v>
      </c>
      <c r="L29" s="50">
        <v>100</v>
      </c>
      <c r="N29" s="57">
        <f t="shared" si="0"/>
        <v>1536</v>
      </c>
      <c r="O29" s="91">
        <f>VLOOKUP("2001-W04",PAYTABLE,COLUMN(),FALSE)</f>
        <v>48</v>
      </c>
      <c r="P29" s="58">
        <f t="shared" si="1"/>
        <v>1488</v>
      </c>
      <c r="Q29" s="59">
        <f t="shared" si="2"/>
        <v>5.5561986341011692E-3</v>
      </c>
      <c r="R29" s="58">
        <f t="shared" si="3"/>
        <v>1409.3763440860216</v>
      </c>
      <c r="S29" s="58">
        <f>IF(P29=0,0,CYCLE/SUM($P$6:P29))</f>
        <v>166.55960606782622</v>
      </c>
      <c r="T29" s="59">
        <f t="shared" si="4"/>
        <v>7.0953369140625E-4</v>
      </c>
      <c r="U29" s="58">
        <f t="shared" si="5"/>
        <v>29760</v>
      </c>
      <c r="V29" s="60">
        <f t="shared" si="6"/>
        <v>1.6135591014818068E-2</v>
      </c>
      <c r="X29" s="57">
        <f t="shared" si="7"/>
        <v>1280</v>
      </c>
      <c r="Y29" s="91">
        <f>VLOOKUP("2001-W04",PAYTABLE,COLUMN(),FALSE)</f>
        <v>40</v>
      </c>
      <c r="Z29" s="58">
        <f t="shared" si="8"/>
        <v>1240</v>
      </c>
      <c r="AA29" s="59">
        <f t="shared" si="9"/>
        <v>4.6063604922862034E-3</v>
      </c>
      <c r="AB29" s="58">
        <f t="shared" si="10"/>
        <v>1691.2516129032258</v>
      </c>
      <c r="AC29" s="58">
        <f>IF(Z29=0,0,CYCLE/SUM($Z$6:Z29))</f>
        <v>167.51753334930905</v>
      </c>
      <c r="AD29" s="59">
        <f t="shared" si="11"/>
        <v>5.91278076171875E-4</v>
      </c>
      <c r="AE29" s="58">
        <f t="shared" si="12"/>
        <v>49600</v>
      </c>
      <c r="AF29" s="60">
        <f t="shared" si="13"/>
        <v>1.3168039045359646E-2</v>
      </c>
      <c r="AH29" s="57">
        <f t="shared" si="14"/>
        <v>1536</v>
      </c>
      <c r="AI29" s="91">
        <f>VLOOKUP("2001-W04",PAYTABLE,COLUMN(),FALSE)</f>
        <v>48</v>
      </c>
      <c r="AJ29" s="58">
        <f t="shared" si="15"/>
        <v>1488</v>
      </c>
      <c r="AK29" s="59">
        <f t="shared" si="16"/>
        <v>5.2089714731797477E-3</v>
      </c>
      <c r="AL29" s="58">
        <f t="shared" si="17"/>
        <v>1409.3763440860216</v>
      </c>
      <c r="AM29" s="58">
        <f>IF(AJ29=0,0,CYCLE/SUM($AJ$6:AJ29))</f>
        <v>163.0882650283848</v>
      </c>
      <c r="AN29" s="59">
        <f t="shared" si="18"/>
        <v>7.0953369140625E-4</v>
      </c>
      <c r="AO29" s="58">
        <f t="shared" si="19"/>
        <v>89280</v>
      </c>
      <c r="AP29" s="60">
        <f t="shared" si="20"/>
        <v>1.5480939093740832E-2</v>
      </c>
      <c r="AR29" s="57">
        <f t="shared" si="21"/>
        <v>2048</v>
      </c>
      <c r="AS29" s="91">
        <f>VLOOKUP("2001-W04",PAYTABLE,COLUMN(),FALSE)</f>
        <v>64</v>
      </c>
      <c r="AT29" s="58">
        <f t="shared" si="22"/>
        <v>1984</v>
      </c>
      <c r="AU29" s="59">
        <f t="shared" si="23"/>
        <v>6.5127546917110096E-3</v>
      </c>
      <c r="AV29" s="58">
        <f t="shared" si="24"/>
        <v>1057.0322580645161</v>
      </c>
      <c r="AW29" s="58">
        <f>IF(AT29=0,0,CYCLE/SUM($AT$6:AT29))</f>
        <v>145.62544267759182</v>
      </c>
      <c r="AX29" s="59">
        <f t="shared" si="25"/>
        <v>9.46044921875E-4</v>
      </c>
      <c r="AY29" s="58">
        <f t="shared" si="26"/>
        <v>158720</v>
      </c>
      <c r="AZ29" s="60">
        <f t="shared" si="27"/>
        <v>2.0271644118209024E-2</v>
      </c>
      <c r="BB29" s="57">
        <f t="shared" si="28"/>
        <v>2048</v>
      </c>
      <c r="BC29" s="91">
        <f>VLOOKUP("2001-W04",PAYTABLE,COLUMN(),FALSE)</f>
        <v>64</v>
      </c>
      <c r="BD29" s="58">
        <f t="shared" si="29"/>
        <v>1984</v>
      </c>
      <c r="BE29" s="59">
        <f t="shared" si="30"/>
        <v>6.2071576286405264E-3</v>
      </c>
      <c r="BF29" s="58">
        <f t="shared" si="31"/>
        <v>1057.0322580645161</v>
      </c>
      <c r="BG29" s="58">
        <f>IF(BD29=0,0,CYCLE/SUM($BD$6:BD29))</f>
        <v>161.13346139070305</v>
      </c>
      <c r="BH29" s="59">
        <f t="shared" si="32"/>
        <v>9.46044921875E-4</v>
      </c>
      <c r="BI29" s="58">
        <f t="shared" si="33"/>
        <v>198400</v>
      </c>
      <c r="BJ29" s="60">
        <f t="shared" si="34"/>
        <v>1.9839186593349673E-2</v>
      </c>
    </row>
    <row r="30" spans="2:62" x14ac:dyDescent="0.2">
      <c r="B30" s="44" t="s">
        <v>153</v>
      </c>
      <c r="C30" s="33" t="s">
        <v>31</v>
      </c>
      <c r="D30" s="33" t="s">
        <v>31</v>
      </c>
      <c r="E30" s="33" t="s">
        <v>34</v>
      </c>
      <c r="F30" s="120"/>
      <c r="H30" s="51">
        <f>VLOOKUP("2001-W31",PAYTABLE,COLUMN()-1,FALSE)*2</f>
        <v>20</v>
      </c>
      <c r="I30" s="52">
        <f>VLOOKUP("2001-W31",PAYTABLE,COLUMN()-1,FALSE)*2</f>
        <v>40</v>
      </c>
      <c r="J30" s="52">
        <f>VLOOKUP("2001-W31",PAYTABLE,COLUMN()-1,FALSE)*2</f>
        <v>60</v>
      </c>
      <c r="K30" s="52">
        <f>VLOOKUP("2001-W31",PAYTABLE,COLUMN()-1,FALSE)*2</f>
        <v>80</v>
      </c>
      <c r="L30" s="53">
        <f>VLOOKUP("2001-W31",PAYTABLE,COLUMN()-1,FALSE)*2</f>
        <v>100</v>
      </c>
      <c r="N30" s="57">
        <f t="shared" si="0"/>
        <v>1760</v>
      </c>
      <c r="O30" s="91"/>
      <c r="P30" s="58">
        <f t="shared" si="1"/>
        <v>1760</v>
      </c>
      <c r="Q30" s="59">
        <f t="shared" si="2"/>
        <v>6.571847846786329E-3</v>
      </c>
      <c r="R30" s="58">
        <f t="shared" si="3"/>
        <v>1191.5636363636363</v>
      </c>
      <c r="S30" s="58">
        <f>IF(P30=0,0,CYCLE/SUM($P$6:P30))</f>
        <v>146.13281304438715</v>
      </c>
      <c r="T30" s="59">
        <f t="shared" si="4"/>
        <v>8.392333984375E-4</v>
      </c>
      <c r="U30" s="58">
        <f t="shared" si="5"/>
        <v>35200</v>
      </c>
      <c r="V30" s="60">
        <f t="shared" si="6"/>
        <v>1.908510765193535E-2</v>
      </c>
      <c r="X30" s="57">
        <f t="shared" si="7"/>
        <v>1920</v>
      </c>
      <c r="Y30" s="91"/>
      <c r="Z30" s="58">
        <f t="shared" si="8"/>
        <v>1920</v>
      </c>
      <c r="AA30" s="59">
        <f t="shared" si="9"/>
        <v>7.1324291493463799E-3</v>
      </c>
      <c r="AB30" s="58">
        <f t="shared" si="10"/>
        <v>1092.2666666666667</v>
      </c>
      <c r="AC30" s="58">
        <f>IF(Z30=0,0,CYCLE/SUM($Z$6:Z30))</f>
        <v>145.24219128748527</v>
      </c>
      <c r="AD30" s="59">
        <f t="shared" si="11"/>
        <v>9.1552734375E-4</v>
      </c>
      <c r="AE30" s="58">
        <f t="shared" si="12"/>
        <v>76800</v>
      </c>
      <c r="AF30" s="60">
        <f t="shared" si="13"/>
        <v>2.0389221747653646E-2</v>
      </c>
      <c r="AH30" s="57">
        <f t="shared" si="14"/>
        <v>1920</v>
      </c>
      <c r="AI30" s="91"/>
      <c r="AJ30" s="58">
        <f t="shared" si="15"/>
        <v>1920</v>
      </c>
      <c r="AK30" s="59">
        <f t="shared" si="16"/>
        <v>6.7212535137803203E-3</v>
      </c>
      <c r="AL30" s="58">
        <f t="shared" si="17"/>
        <v>1092.2666666666667</v>
      </c>
      <c r="AM30" s="58">
        <f>IF(AJ30=0,0,CYCLE/SUM($AJ$6:AJ30))</f>
        <v>141.90080519656269</v>
      </c>
      <c r="AN30" s="59">
        <f t="shared" si="18"/>
        <v>9.1552734375E-4</v>
      </c>
      <c r="AO30" s="58">
        <f t="shared" si="19"/>
        <v>115200</v>
      </c>
      <c r="AP30" s="60">
        <f t="shared" si="20"/>
        <v>1.9975405282246235E-2</v>
      </c>
      <c r="AR30" s="57">
        <f t="shared" si="21"/>
        <v>1920</v>
      </c>
      <c r="AS30" s="91"/>
      <c r="AT30" s="58">
        <f t="shared" si="22"/>
        <v>1920</v>
      </c>
      <c r="AU30" s="59">
        <f t="shared" si="23"/>
        <v>6.3026658306880737E-3</v>
      </c>
      <c r="AV30" s="58">
        <f t="shared" si="24"/>
        <v>1092.2666666666667</v>
      </c>
      <c r="AW30" s="58">
        <f>IF(AT30=0,0,CYCLE/SUM($AT$6:AT30))</f>
        <v>128.49408737209731</v>
      </c>
      <c r="AX30" s="59">
        <f t="shared" si="25"/>
        <v>9.1552734375E-4</v>
      </c>
      <c r="AY30" s="58">
        <f t="shared" si="26"/>
        <v>153600</v>
      </c>
      <c r="AZ30" s="60">
        <f t="shared" si="27"/>
        <v>1.9617720114395831E-2</v>
      </c>
      <c r="BB30" s="57">
        <f t="shared" si="28"/>
        <v>1920</v>
      </c>
      <c r="BC30" s="91"/>
      <c r="BD30" s="58">
        <f t="shared" si="29"/>
        <v>1920</v>
      </c>
      <c r="BE30" s="59">
        <f t="shared" si="30"/>
        <v>6.0069267373940574E-3</v>
      </c>
      <c r="BF30" s="58">
        <f t="shared" si="31"/>
        <v>1092.2666666666667</v>
      </c>
      <c r="BG30" s="58">
        <f>IF(BD30=0,0,CYCLE/SUM($BD$6:BD30))</f>
        <v>140.41861399397388</v>
      </c>
      <c r="BH30" s="59">
        <f t="shared" si="32"/>
        <v>9.1552734375E-4</v>
      </c>
      <c r="BI30" s="58">
        <f t="shared" si="33"/>
        <v>192000</v>
      </c>
      <c r="BJ30" s="60">
        <f t="shared" si="34"/>
        <v>1.9199212832273875E-2</v>
      </c>
    </row>
    <row r="31" spans="2:62" x14ac:dyDescent="0.2">
      <c r="B31" s="44" t="s">
        <v>154</v>
      </c>
      <c r="C31" s="33" t="s">
        <v>30</v>
      </c>
      <c r="D31" s="33" t="s">
        <v>30</v>
      </c>
      <c r="E31" s="33" t="s">
        <v>45</v>
      </c>
      <c r="F31" s="120"/>
      <c r="H31" s="51">
        <f>VLOOKUP("2001-W29",PAYTABLE,COLUMN()-1,FALSE)</f>
        <v>15</v>
      </c>
      <c r="I31" s="52">
        <f>VLOOKUP("2001-W29",PAYTABLE,COLUMN()-1,FALSE)</f>
        <v>30</v>
      </c>
      <c r="J31" s="52">
        <f>VLOOKUP("2001-W29",PAYTABLE,COLUMN()-1,FALSE)</f>
        <v>45</v>
      </c>
      <c r="K31" s="52">
        <f>VLOOKUP("2001-W29",PAYTABLE,COLUMN()-1,FALSE)</f>
        <v>60</v>
      </c>
      <c r="L31" s="53">
        <f>VLOOKUP("2001-W29",PAYTABLE,COLUMN()-1,FALSE)</f>
        <v>75</v>
      </c>
      <c r="N31" s="57">
        <f t="shared" si="0"/>
        <v>400</v>
      </c>
      <c r="O31" s="91"/>
      <c r="P31" s="58">
        <f t="shared" si="1"/>
        <v>400</v>
      </c>
      <c r="Q31" s="59">
        <f t="shared" si="2"/>
        <v>1.4936017833605294E-3</v>
      </c>
      <c r="R31" s="58">
        <f t="shared" si="3"/>
        <v>5242.88</v>
      </c>
      <c r="S31" s="58">
        <f>IF(P31=0,0,CYCLE/SUM($P$6:P31))</f>
        <v>142.17015795539285</v>
      </c>
      <c r="T31" s="59">
        <f t="shared" si="4"/>
        <v>1.9073486328125E-4</v>
      </c>
      <c r="U31" s="58">
        <f t="shared" si="5"/>
        <v>6000</v>
      </c>
      <c r="V31" s="60">
        <f t="shared" si="6"/>
        <v>3.2531433497617075E-3</v>
      </c>
      <c r="X31" s="57">
        <f t="shared" si="7"/>
        <v>360</v>
      </c>
      <c r="Y31" s="91"/>
      <c r="Z31" s="58">
        <f t="shared" si="8"/>
        <v>360</v>
      </c>
      <c r="AA31" s="59">
        <f t="shared" si="9"/>
        <v>1.3373304655024461E-3</v>
      </c>
      <c r="AB31" s="58">
        <f t="shared" si="10"/>
        <v>5825.4222222222224</v>
      </c>
      <c r="AC31" s="58">
        <f>IF(Z31=0,0,CYCLE/SUM($Z$6:Z31))</f>
        <v>141.70903439421582</v>
      </c>
      <c r="AD31" s="59">
        <f t="shared" si="11"/>
        <v>1.71661376953125E-4</v>
      </c>
      <c r="AE31" s="58">
        <f t="shared" si="12"/>
        <v>10800</v>
      </c>
      <c r="AF31" s="60">
        <f t="shared" si="13"/>
        <v>2.867234308263794E-3</v>
      </c>
      <c r="AH31" s="57">
        <f t="shared" si="14"/>
        <v>360</v>
      </c>
      <c r="AI31" s="91"/>
      <c r="AJ31" s="58">
        <f t="shared" si="15"/>
        <v>360</v>
      </c>
      <c r="AK31" s="59">
        <f t="shared" si="16"/>
        <v>1.2602350338338101E-3</v>
      </c>
      <c r="AL31" s="58">
        <f t="shared" si="17"/>
        <v>5825.4222222222224</v>
      </c>
      <c r="AM31" s="58">
        <f>IF(AJ31=0,0,CYCLE/SUM($AJ$6:AJ31))</f>
        <v>138.52645485170751</v>
      </c>
      <c r="AN31" s="59">
        <f t="shared" si="18"/>
        <v>1.71661376953125E-4</v>
      </c>
      <c r="AO31" s="58">
        <f t="shared" si="19"/>
        <v>16200</v>
      </c>
      <c r="AP31" s="60">
        <f t="shared" si="20"/>
        <v>2.8090413678158767E-3</v>
      </c>
      <c r="AR31" s="57">
        <f t="shared" si="21"/>
        <v>360</v>
      </c>
      <c r="AS31" s="91"/>
      <c r="AT31" s="58">
        <f t="shared" si="22"/>
        <v>360</v>
      </c>
      <c r="AU31" s="59">
        <f t="shared" si="23"/>
        <v>1.1817498432540139E-3</v>
      </c>
      <c r="AV31" s="58">
        <f t="shared" si="24"/>
        <v>5825.4222222222224</v>
      </c>
      <c r="AW31" s="58">
        <f>IF(AT31=0,0,CYCLE/SUM($AT$6:AT31))</f>
        <v>125.72099994005156</v>
      </c>
      <c r="AX31" s="59">
        <f t="shared" si="25"/>
        <v>1.71661376953125E-4</v>
      </c>
      <c r="AY31" s="58">
        <f t="shared" si="26"/>
        <v>21600</v>
      </c>
      <c r="AZ31" s="60">
        <f t="shared" si="27"/>
        <v>2.7587418910869138E-3</v>
      </c>
      <c r="BB31" s="57">
        <f t="shared" si="28"/>
        <v>360</v>
      </c>
      <c r="BC31" s="91"/>
      <c r="BD31" s="58">
        <f t="shared" si="29"/>
        <v>360</v>
      </c>
      <c r="BE31" s="59">
        <f t="shared" si="30"/>
        <v>1.1262987632613857E-3</v>
      </c>
      <c r="BF31" s="58">
        <f t="shared" si="31"/>
        <v>5825.4222222222224</v>
      </c>
      <c r="BG31" s="58">
        <f>IF(BD31=0,0,CYCLE/SUM($BD$6:BD31))</f>
        <v>137.11356652500817</v>
      </c>
      <c r="BH31" s="59">
        <f t="shared" si="32"/>
        <v>1.71661376953125E-4</v>
      </c>
      <c r="BI31" s="58">
        <f t="shared" si="33"/>
        <v>27000</v>
      </c>
      <c r="BJ31" s="60">
        <f t="shared" si="34"/>
        <v>2.6998893045385138E-3</v>
      </c>
    </row>
    <row r="32" spans="2:62" x14ac:dyDescent="0.2">
      <c r="B32" s="44" t="s">
        <v>155</v>
      </c>
      <c r="C32" s="33" t="s">
        <v>28</v>
      </c>
      <c r="D32" s="33" t="s">
        <v>28</v>
      </c>
      <c r="E32" s="33" t="s">
        <v>45</v>
      </c>
      <c r="F32" s="120"/>
      <c r="H32" s="51">
        <f>VLOOKUP("2001-W28",PAYTABLE,COLUMN()-1,FALSE)</f>
        <v>15</v>
      </c>
      <c r="I32" s="52">
        <f>VLOOKUP("2001-W28",PAYTABLE,COLUMN()-1,FALSE)</f>
        <v>30</v>
      </c>
      <c r="J32" s="52">
        <f>VLOOKUP("2001-W28",PAYTABLE,COLUMN()-1,FALSE)</f>
        <v>45</v>
      </c>
      <c r="K32" s="52">
        <f>VLOOKUP("2001-W28",PAYTABLE,COLUMN()-1,FALSE)</f>
        <v>60</v>
      </c>
      <c r="L32" s="53">
        <f>VLOOKUP("2001-W28",PAYTABLE,COLUMN()-1,FALSE)</f>
        <v>75</v>
      </c>
      <c r="N32" s="57">
        <f t="shared" si="0"/>
        <v>480</v>
      </c>
      <c r="O32" s="91"/>
      <c r="P32" s="58">
        <f t="shared" si="1"/>
        <v>480</v>
      </c>
      <c r="Q32" s="59">
        <f t="shared" si="2"/>
        <v>1.7923221400326353E-3</v>
      </c>
      <c r="R32" s="58">
        <f t="shared" si="3"/>
        <v>4369.0666666666666</v>
      </c>
      <c r="S32" s="58">
        <f>IF(P32=0,0,CYCLE/SUM($P$6:P32))</f>
        <v>137.68971177204386</v>
      </c>
      <c r="T32" s="59">
        <f t="shared" si="4"/>
        <v>2.288818359375E-4</v>
      </c>
      <c r="U32" s="58">
        <f t="shared" si="5"/>
        <v>7200</v>
      </c>
      <c r="V32" s="60">
        <f t="shared" si="6"/>
        <v>3.9037720197140488E-3</v>
      </c>
      <c r="X32" s="57">
        <f t="shared" si="7"/>
        <v>480</v>
      </c>
      <c r="Y32" s="91"/>
      <c r="Z32" s="58">
        <f t="shared" si="8"/>
        <v>480</v>
      </c>
      <c r="AA32" s="59">
        <f t="shared" si="9"/>
        <v>1.783107287336595E-3</v>
      </c>
      <c r="AB32" s="58">
        <f t="shared" si="10"/>
        <v>4369.0666666666666</v>
      </c>
      <c r="AC32" s="58">
        <f>IF(Z32=0,0,CYCLE/SUM($Z$6:Z32))</f>
        <v>137.25715033706393</v>
      </c>
      <c r="AD32" s="59">
        <f t="shared" si="11"/>
        <v>2.288818359375E-4</v>
      </c>
      <c r="AE32" s="58">
        <f t="shared" si="12"/>
        <v>14400</v>
      </c>
      <c r="AF32" s="60">
        <f t="shared" si="13"/>
        <v>3.8229790776850587E-3</v>
      </c>
      <c r="AH32" s="57">
        <f t="shared" si="14"/>
        <v>480</v>
      </c>
      <c r="AI32" s="91"/>
      <c r="AJ32" s="58">
        <f t="shared" si="15"/>
        <v>480</v>
      </c>
      <c r="AK32" s="59">
        <f t="shared" si="16"/>
        <v>1.6803133784450801E-3</v>
      </c>
      <c r="AL32" s="58">
        <f t="shared" si="17"/>
        <v>4369.0666666666666</v>
      </c>
      <c r="AM32" s="58">
        <f>IF(AJ32=0,0,CYCLE/SUM($AJ$6:AJ32))</f>
        <v>134.26928740636404</v>
      </c>
      <c r="AN32" s="59">
        <f t="shared" si="18"/>
        <v>2.288818359375E-4</v>
      </c>
      <c r="AO32" s="58">
        <f t="shared" si="19"/>
        <v>21600</v>
      </c>
      <c r="AP32" s="60">
        <f t="shared" si="20"/>
        <v>3.7453884904211691E-3</v>
      </c>
      <c r="AR32" s="57">
        <f t="shared" si="21"/>
        <v>480</v>
      </c>
      <c r="AS32" s="91"/>
      <c r="AT32" s="58">
        <f t="shared" si="22"/>
        <v>480</v>
      </c>
      <c r="AU32" s="59">
        <f t="shared" si="23"/>
        <v>1.5756664576720184E-3</v>
      </c>
      <c r="AV32" s="58">
        <f t="shared" si="24"/>
        <v>4369.0666666666666</v>
      </c>
      <c r="AW32" s="58">
        <f>IF(AT32=0,0,CYCLE/SUM($AT$6:AT32))</f>
        <v>122.20453353534177</v>
      </c>
      <c r="AX32" s="59">
        <f t="shared" si="25"/>
        <v>2.288818359375E-4</v>
      </c>
      <c r="AY32" s="58">
        <f t="shared" si="26"/>
        <v>28800</v>
      </c>
      <c r="AZ32" s="60">
        <f t="shared" si="27"/>
        <v>3.6783225214492184E-3</v>
      </c>
      <c r="BB32" s="57">
        <f t="shared" si="28"/>
        <v>480</v>
      </c>
      <c r="BC32" s="91"/>
      <c r="BD32" s="58">
        <f t="shared" si="29"/>
        <v>480</v>
      </c>
      <c r="BE32" s="59">
        <f t="shared" si="30"/>
        <v>1.5017316843485143E-3</v>
      </c>
      <c r="BF32" s="58">
        <f t="shared" si="31"/>
        <v>4369.0666666666666</v>
      </c>
      <c r="BG32" s="58">
        <f>IF(BD32=0,0,CYCLE/SUM($BD$6:BD32))</f>
        <v>132.94148969889065</v>
      </c>
      <c r="BH32" s="59">
        <f t="shared" si="32"/>
        <v>2.288818359375E-4</v>
      </c>
      <c r="BI32" s="58">
        <f t="shared" si="33"/>
        <v>36000</v>
      </c>
      <c r="BJ32" s="60">
        <f t="shared" si="34"/>
        <v>3.599852406051352E-3</v>
      </c>
    </row>
    <row r="33" spans="2:62" x14ac:dyDescent="0.2">
      <c r="B33" s="44" t="s">
        <v>156</v>
      </c>
      <c r="C33" s="33" t="s">
        <v>28</v>
      </c>
      <c r="D33" s="33" t="s">
        <v>28</v>
      </c>
      <c r="E33" s="33" t="s">
        <v>28</v>
      </c>
      <c r="F33" s="120"/>
      <c r="H33" s="48">
        <v>15</v>
      </c>
      <c r="I33" s="49">
        <v>30</v>
      </c>
      <c r="J33" s="49">
        <v>45</v>
      </c>
      <c r="K33" s="49">
        <v>60</v>
      </c>
      <c r="L33" s="50">
        <v>75</v>
      </c>
      <c r="N33" s="57">
        <f t="shared" si="0"/>
        <v>1080</v>
      </c>
      <c r="O33" s="91"/>
      <c r="P33" s="58">
        <f t="shared" si="1"/>
        <v>1080</v>
      </c>
      <c r="Q33" s="59">
        <f t="shared" si="2"/>
        <v>4.0327248150734294E-3</v>
      </c>
      <c r="R33" s="58">
        <f t="shared" si="3"/>
        <v>1941.8074074074075</v>
      </c>
      <c r="S33" s="58">
        <f>IF(P33=0,0,CYCLE/SUM($P$6:P33))</f>
        <v>128.57286493777207</v>
      </c>
      <c r="T33" s="59">
        <f t="shared" si="4"/>
        <v>5.14984130859375E-4</v>
      </c>
      <c r="U33" s="58">
        <f t="shared" si="5"/>
        <v>16200</v>
      </c>
      <c r="V33" s="60">
        <f t="shared" si="6"/>
        <v>8.7834870443566099E-3</v>
      </c>
      <c r="X33" s="57">
        <f t="shared" si="7"/>
        <v>1080</v>
      </c>
      <c r="Y33" s="91"/>
      <c r="Z33" s="58">
        <f t="shared" si="8"/>
        <v>1080</v>
      </c>
      <c r="AA33" s="59">
        <f t="shared" si="9"/>
        <v>4.0119913965073386E-3</v>
      </c>
      <c r="AB33" s="58">
        <f t="shared" si="10"/>
        <v>1941.8074074074075</v>
      </c>
      <c r="AC33" s="58">
        <f>IF(Z33=0,0,CYCLE/SUM($Z$6:Z33))</f>
        <v>128.19561097866617</v>
      </c>
      <c r="AD33" s="59">
        <f t="shared" si="11"/>
        <v>5.14984130859375E-4</v>
      </c>
      <c r="AE33" s="58">
        <f t="shared" si="12"/>
        <v>32400</v>
      </c>
      <c r="AF33" s="60">
        <f t="shared" si="13"/>
        <v>8.6017029247913816E-3</v>
      </c>
      <c r="AH33" s="57">
        <f t="shared" si="14"/>
        <v>1080</v>
      </c>
      <c r="AI33" s="91"/>
      <c r="AJ33" s="58">
        <f t="shared" si="15"/>
        <v>1080</v>
      </c>
      <c r="AK33" s="59">
        <f t="shared" si="16"/>
        <v>3.7807051015014302E-3</v>
      </c>
      <c r="AL33" s="58">
        <f t="shared" si="17"/>
        <v>1941.8074074074075</v>
      </c>
      <c r="AM33" s="58">
        <f>IF(AJ33=0,0,CYCLE/SUM($AJ$6:AJ33))</f>
        <v>125.58548416072819</v>
      </c>
      <c r="AN33" s="59">
        <f t="shared" si="18"/>
        <v>5.14984130859375E-4</v>
      </c>
      <c r="AO33" s="58">
        <f t="shared" si="19"/>
        <v>48600</v>
      </c>
      <c r="AP33" s="60">
        <f t="shared" si="20"/>
        <v>8.42712410344763E-3</v>
      </c>
      <c r="AR33" s="57">
        <f t="shared" si="21"/>
        <v>1080</v>
      </c>
      <c r="AS33" s="91"/>
      <c r="AT33" s="58">
        <f t="shared" si="22"/>
        <v>1080</v>
      </c>
      <c r="AU33" s="59">
        <f t="shared" si="23"/>
        <v>3.5452495297620414E-3</v>
      </c>
      <c r="AV33" s="58">
        <f t="shared" si="24"/>
        <v>1941.8074074074075</v>
      </c>
      <c r="AW33" s="58">
        <f>IF(AT33=0,0,CYCLE/SUM($AT$6:AT33))</f>
        <v>114.96913546406446</v>
      </c>
      <c r="AX33" s="59">
        <f t="shared" si="25"/>
        <v>5.14984130859375E-4</v>
      </c>
      <c r="AY33" s="58">
        <f t="shared" si="26"/>
        <v>64800</v>
      </c>
      <c r="AZ33" s="60">
        <f t="shared" si="27"/>
        <v>8.2762256732607405E-3</v>
      </c>
      <c r="BB33" s="57">
        <f t="shared" si="28"/>
        <v>1080</v>
      </c>
      <c r="BC33" s="91"/>
      <c r="BD33" s="58">
        <f t="shared" si="29"/>
        <v>1080</v>
      </c>
      <c r="BE33" s="59">
        <f t="shared" si="30"/>
        <v>3.3788962897841573E-3</v>
      </c>
      <c r="BF33" s="58">
        <f t="shared" si="31"/>
        <v>1941.8074074074075</v>
      </c>
      <c r="BG33" s="58">
        <f>IF(BD33=0,0,CYCLE/SUM($BD$6:BD33))</f>
        <v>124.42313853455948</v>
      </c>
      <c r="BH33" s="59">
        <f t="shared" si="32"/>
        <v>5.14984130859375E-4</v>
      </c>
      <c r="BI33" s="58">
        <f t="shared" si="33"/>
        <v>81000</v>
      </c>
      <c r="BJ33" s="60">
        <f t="shared" si="34"/>
        <v>8.0996679136155422E-3</v>
      </c>
    </row>
    <row r="34" spans="2:62" x14ac:dyDescent="0.2">
      <c r="B34" s="44" t="s">
        <v>157</v>
      </c>
      <c r="C34" s="33" t="s">
        <v>30</v>
      </c>
      <c r="D34" s="33" t="s">
        <v>30</v>
      </c>
      <c r="E34" s="33" t="s">
        <v>30</v>
      </c>
      <c r="F34" s="120"/>
      <c r="H34" s="48">
        <v>15</v>
      </c>
      <c r="I34" s="49">
        <v>30</v>
      </c>
      <c r="J34" s="49">
        <v>45</v>
      </c>
      <c r="K34" s="49">
        <v>60</v>
      </c>
      <c r="L34" s="50">
        <v>75</v>
      </c>
      <c r="N34" s="57">
        <f t="shared" si="0"/>
        <v>1000</v>
      </c>
      <c r="O34" s="91"/>
      <c r="P34" s="58">
        <f t="shared" si="1"/>
        <v>1000</v>
      </c>
      <c r="Q34" s="59">
        <f t="shared" si="2"/>
        <v>3.7340044584013234E-3</v>
      </c>
      <c r="R34" s="58">
        <f t="shared" si="3"/>
        <v>2097.152</v>
      </c>
      <c r="S34" s="58">
        <f>IF(P34=0,0,CYCLE/SUM($P$6:P34))</f>
        <v>121.14562994627694</v>
      </c>
      <c r="T34" s="59">
        <f t="shared" si="4"/>
        <v>4.76837158203125E-4</v>
      </c>
      <c r="U34" s="58">
        <f t="shared" si="5"/>
        <v>15000</v>
      </c>
      <c r="V34" s="60">
        <f t="shared" si="6"/>
        <v>8.1328583744042678E-3</v>
      </c>
      <c r="X34" s="57">
        <f t="shared" si="7"/>
        <v>810</v>
      </c>
      <c r="Y34" s="91"/>
      <c r="Z34" s="58">
        <f t="shared" si="8"/>
        <v>810</v>
      </c>
      <c r="AA34" s="59">
        <f t="shared" si="9"/>
        <v>3.0089935473805039E-3</v>
      </c>
      <c r="AB34" s="58">
        <f t="shared" si="10"/>
        <v>2589.0765432098765</v>
      </c>
      <c r="AC34" s="58">
        <f>IF(Z34=0,0,CYCLE/SUM($Z$6:Z34))</f>
        <v>122.14759158949269</v>
      </c>
      <c r="AD34" s="59">
        <f t="shared" si="11"/>
        <v>3.8623809814453125E-4</v>
      </c>
      <c r="AE34" s="58">
        <f t="shared" si="12"/>
        <v>24300</v>
      </c>
      <c r="AF34" s="60">
        <f t="shared" si="13"/>
        <v>6.4512771935935362E-3</v>
      </c>
      <c r="AH34" s="57">
        <f t="shared" si="14"/>
        <v>810</v>
      </c>
      <c r="AI34" s="91"/>
      <c r="AJ34" s="58">
        <f t="shared" si="15"/>
        <v>810</v>
      </c>
      <c r="AK34" s="59">
        <f t="shared" si="16"/>
        <v>2.8355288261260724E-3</v>
      </c>
      <c r="AL34" s="58">
        <f t="shared" si="17"/>
        <v>2589.0765432098765</v>
      </c>
      <c r="AM34" s="58">
        <f>IF(AJ34=0,0,CYCLE/SUM($AJ$6:AJ34))</f>
        <v>119.7756582329088</v>
      </c>
      <c r="AN34" s="59">
        <f t="shared" si="18"/>
        <v>3.8623809814453125E-4</v>
      </c>
      <c r="AO34" s="58">
        <f t="shared" si="19"/>
        <v>36450</v>
      </c>
      <c r="AP34" s="60">
        <f t="shared" si="20"/>
        <v>6.3203430775857225E-3</v>
      </c>
      <c r="AR34" s="57">
        <f t="shared" si="21"/>
        <v>900</v>
      </c>
      <c r="AS34" s="91"/>
      <c r="AT34" s="58">
        <f t="shared" si="22"/>
        <v>900</v>
      </c>
      <c r="AU34" s="59">
        <f t="shared" si="23"/>
        <v>2.9543746081350346E-3</v>
      </c>
      <c r="AV34" s="58">
        <f t="shared" si="24"/>
        <v>2330.1688888888889</v>
      </c>
      <c r="AW34" s="58">
        <f>IF(AT34=0,0,CYCLE/SUM($AT$6:AT34))</f>
        <v>109.56334569771694</v>
      </c>
      <c r="AX34" s="59">
        <f t="shared" si="25"/>
        <v>4.291534423828125E-4</v>
      </c>
      <c r="AY34" s="58">
        <f t="shared" si="26"/>
        <v>54000</v>
      </c>
      <c r="AZ34" s="60">
        <f t="shared" si="27"/>
        <v>6.896854727717284E-3</v>
      </c>
      <c r="BB34" s="57">
        <f t="shared" si="28"/>
        <v>900</v>
      </c>
      <c r="BC34" s="91"/>
      <c r="BD34" s="58">
        <f t="shared" si="29"/>
        <v>900</v>
      </c>
      <c r="BE34" s="59">
        <f t="shared" si="30"/>
        <v>2.8157469081534644E-3</v>
      </c>
      <c r="BF34" s="58">
        <f t="shared" si="31"/>
        <v>2330.1688888888889</v>
      </c>
      <c r="BG34" s="58">
        <f>IF(BD34=0,0,CYCLE/SUM($BD$6:BD34))</f>
        <v>118.11613629963391</v>
      </c>
      <c r="BH34" s="59">
        <f t="shared" si="32"/>
        <v>4.291534423828125E-4</v>
      </c>
      <c r="BI34" s="58">
        <f t="shared" si="33"/>
        <v>67500</v>
      </c>
      <c r="BJ34" s="60">
        <f t="shared" si="34"/>
        <v>6.7497232613462849E-3</v>
      </c>
    </row>
    <row r="35" spans="2:62" x14ac:dyDescent="0.2">
      <c r="B35" s="44" t="s">
        <v>158</v>
      </c>
      <c r="C35" s="33" t="s">
        <v>31</v>
      </c>
      <c r="D35" s="33" t="s">
        <v>31</v>
      </c>
      <c r="E35" s="33" t="s">
        <v>45</v>
      </c>
      <c r="F35" s="120"/>
      <c r="H35" s="51">
        <f>VLOOKUP("2001-W31",PAYTABLE,COLUMN()-1,FALSE)</f>
        <v>10</v>
      </c>
      <c r="I35" s="52">
        <f>VLOOKUP("2001-W31",PAYTABLE,COLUMN()-1,FALSE)</f>
        <v>20</v>
      </c>
      <c r="J35" s="52">
        <f>VLOOKUP("2001-W31",PAYTABLE,COLUMN()-1,FALSE)</f>
        <v>30</v>
      </c>
      <c r="K35" s="52">
        <f>VLOOKUP("2001-W31",PAYTABLE,COLUMN()-1,FALSE)</f>
        <v>40</v>
      </c>
      <c r="L35" s="53">
        <f>VLOOKUP("2001-W31",PAYTABLE,COLUMN()-1,FALSE)</f>
        <v>50</v>
      </c>
      <c r="N35" s="57">
        <f t="shared" si="0"/>
        <v>1760</v>
      </c>
      <c r="O35" s="91"/>
      <c r="P35" s="58">
        <f t="shared" si="1"/>
        <v>1760</v>
      </c>
      <c r="Q35" s="59">
        <f t="shared" si="2"/>
        <v>6.571847846786329E-3</v>
      </c>
      <c r="R35" s="58">
        <f t="shared" si="3"/>
        <v>1191.5636363636363</v>
      </c>
      <c r="S35" s="58">
        <f>IF(P35=0,0,CYCLE/SUM($P$6:P35))</f>
        <v>109.96549735200043</v>
      </c>
      <c r="T35" s="59">
        <f t="shared" si="4"/>
        <v>8.392333984375E-4</v>
      </c>
      <c r="U35" s="58">
        <f t="shared" si="5"/>
        <v>17600</v>
      </c>
      <c r="V35" s="60">
        <f t="shared" si="6"/>
        <v>9.542553825967675E-3</v>
      </c>
      <c r="X35" s="57">
        <f t="shared" si="7"/>
        <v>1920</v>
      </c>
      <c r="Y35" s="91"/>
      <c r="Z35" s="58">
        <f t="shared" si="8"/>
        <v>1920</v>
      </c>
      <c r="AA35" s="59">
        <f t="shared" si="9"/>
        <v>7.1324291493463799E-3</v>
      </c>
      <c r="AB35" s="58">
        <f t="shared" si="10"/>
        <v>1092.2666666666667</v>
      </c>
      <c r="AC35" s="58">
        <f>IF(Z35=0,0,CYCLE/SUM($Z$6:Z35))</f>
        <v>109.86180522814186</v>
      </c>
      <c r="AD35" s="59">
        <f t="shared" si="11"/>
        <v>9.1552734375E-4</v>
      </c>
      <c r="AE35" s="58">
        <f t="shared" si="12"/>
        <v>38400</v>
      </c>
      <c r="AF35" s="60">
        <f t="shared" si="13"/>
        <v>1.0194610873826823E-2</v>
      </c>
      <c r="AH35" s="57">
        <f t="shared" si="14"/>
        <v>1920</v>
      </c>
      <c r="AI35" s="91"/>
      <c r="AJ35" s="58">
        <f t="shared" si="15"/>
        <v>1920</v>
      </c>
      <c r="AK35" s="59">
        <f t="shared" si="16"/>
        <v>6.7212535137803203E-3</v>
      </c>
      <c r="AL35" s="58">
        <f t="shared" si="17"/>
        <v>1092.2666666666667</v>
      </c>
      <c r="AM35" s="58">
        <f>IF(AJ35=0,0,CYCLE/SUM($AJ$6:AJ35))</f>
        <v>107.93926604560194</v>
      </c>
      <c r="AN35" s="59">
        <f t="shared" si="18"/>
        <v>9.1552734375E-4</v>
      </c>
      <c r="AO35" s="58">
        <f t="shared" si="19"/>
        <v>57600</v>
      </c>
      <c r="AP35" s="60">
        <f t="shared" si="20"/>
        <v>9.9877026411231175E-3</v>
      </c>
      <c r="AR35" s="57">
        <f t="shared" si="21"/>
        <v>1920</v>
      </c>
      <c r="AS35" s="91"/>
      <c r="AT35" s="58">
        <f t="shared" si="22"/>
        <v>1920</v>
      </c>
      <c r="AU35" s="59">
        <f t="shared" si="23"/>
        <v>6.3026658306880737E-3</v>
      </c>
      <c r="AV35" s="58">
        <f t="shared" si="24"/>
        <v>1092.2666666666667</v>
      </c>
      <c r="AW35" s="58">
        <f>IF(AT35=0,0,CYCLE/SUM($AT$6:AT35))</f>
        <v>99.575138882294283</v>
      </c>
      <c r="AX35" s="59">
        <f t="shared" si="25"/>
        <v>9.1552734375E-4</v>
      </c>
      <c r="AY35" s="58">
        <f t="shared" si="26"/>
        <v>76800</v>
      </c>
      <c r="AZ35" s="60">
        <f t="shared" si="27"/>
        <v>9.8088600571979156E-3</v>
      </c>
      <c r="BB35" s="57">
        <f t="shared" si="28"/>
        <v>1920</v>
      </c>
      <c r="BC35" s="91"/>
      <c r="BD35" s="58">
        <f t="shared" si="29"/>
        <v>1920</v>
      </c>
      <c r="BE35" s="59">
        <f t="shared" si="30"/>
        <v>6.0069267373940574E-3</v>
      </c>
      <c r="BF35" s="58">
        <f t="shared" si="31"/>
        <v>1092.2666666666667</v>
      </c>
      <c r="BG35" s="58">
        <f>IF(BD35=0,0,CYCLE/SUM($BD$6:BD35))</f>
        <v>106.58968233799237</v>
      </c>
      <c r="BH35" s="59">
        <f t="shared" si="32"/>
        <v>9.1552734375E-4</v>
      </c>
      <c r="BI35" s="58">
        <f t="shared" si="33"/>
        <v>96000</v>
      </c>
      <c r="BJ35" s="60">
        <f t="shared" si="34"/>
        <v>9.5996064161369375E-3</v>
      </c>
    </row>
    <row r="36" spans="2:62" x14ac:dyDescent="0.2">
      <c r="B36" s="44" t="s">
        <v>159</v>
      </c>
      <c r="C36" s="33" t="s">
        <v>31</v>
      </c>
      <c r="D36" s="33" t="s">
        <v>31</v>
      </c>
      <c r="E36" s="33" t="s">
        <v>31</v>
      </c>
      <c r="F36" s="120"/>
      <c r="H36" s="48">
        <v>10</v>
      </c>
      <c r="I36" s="49">
        <v>20</v>
      </c>
      <c r="J36" s="49">
        <v>30</v>
      </c>
      <c r="K36" s="49">
        <v>40</v>
      </c>
      <c r="L36" s="50">
        <v>50</v>
      </c>
      <c r="N36" s="57">
        <f t="shared" si="0"/>
        <v>8800</v>
      </c>
      <c r="O36" s="91"/>
      <c r="P36" s="58">
        <f t="shared" si="1"/>
        <v>8800</v>
      </c>
      <c r="Q36" s="59">
        <f t="shared" si="2"/>
        <v>3.2859239233931643E-2</v>
      </c>
      <c r="R36" s="58">
        <f t="shared" si="3"/>
        <v>238.31272727272727</v>
      </c>
      <c r="S36" s="58">
        <f>IF(P36=0,0,CYCLE/SUM($P$6:P36))</f>
        <v>75.244949947974604</v>
      </c>
      <c r="T36" s="59">
        <f t="shared" si="4"/>
        <v>4.1961669921875E-3</v>
      </c>
      <c r="U36" s="58">
        <f t="shared" si="5"/>
        <v>88000</v>
      </c>
      <c r="V36" s="60">
        <f t="shared" si="6"/>
        <v>4.7712769129838371E-2</v>
      </c>
      <c r="X36" s="57">
        <f t="shared" si="7"/>
        <v>10080</v>
      </c>
      <c r="Y36" s="91"/>
      <c r="Z36" s="58">
        <f t="shared" si="8"/>
        <v>10080</v>
      </c>
      <c r="AA36" s="59">
        <f t="shared" si="9"/>
        <v>3.7445253034068496E-2</v>
      </c>
      <c r="AB36" s="58">
        <f t="shared" si="10"/>
        <v>208.05079365079365</v>
      </c>
      <c r="AC36" s="58">
        <f>IF(Z36=0,0,CYCLE/SUM($Z$6:Z36))</f>
        <v>71.896602557509681</v>
      </c>
      <c r="AD36" s="59">
        <f t="shared" si="11"/>
        <v>4.8065185546875E-3</v>
      </c>
      <c r="AE36" s="58">
        <f t="shared" si="12"/>
        <v>201600</v>
      </c>
      <c r="AF36" s="60">
        <f t="shared" si="13"/>
        <v>5.3521707087590825E-2</v>
      </c>
      <c r="AH36" s="57">
        <f t="shared" si="14"/>
        <v>10080</v>
      </c>
      <c r="AI36" s="91"/>
      <c r="AJ36" s="58">
        <f t="shared" si="15"/>
        <v>10080</v>
      </c>
      <c r="AK36" s="59">
        <f t="shared" si="16"/>
        <v>3.5286580947346678E-2</v>
      </c>
      <c r="AL36" s="58">
        <f t="shared" si="17"/>
        <v>208.05079365079365</v>
      </c>
      <c r="AM36" s="58">
        <f>IF(AJ36=0,0,CYCLE/SUM($AJ$6:AJ36))</f>
        <v>71.068216476329255</v>
      </c>
      <c r="AN36" s="59">
        <f t="shared" si="18"/>
        <v>4.8065185546875E-3</v>
      </c>
      <c r="AO36" s="58">
        <f t="shared" si="19"/>
        <v>302400</v>
      </c>
      <c r="AP36" s="60">
        <f t="shared" si="20"/>
        <v>5.2435438865896362E-2</v>
      </c>
      <c r="AR36" s="57">
        <f t="shared" si="21"/>
        <v>10080</v>
      </c>
      <c r="AS36" s="91"/>
      <c r="AT36" s="58">
        <f t="shared" si="22"/>
        <v>10080</v>
      </c>
      <c r="AU36" s="59">
        <f t="shared" si="23"/>
        <v>3.3088995611112386E-2</v>
      </c>
      <c r="AV36" s="58">
        <f t="shared" si="24"/>
        <v>208.05079365079365</v>
      </c>
      <c r="AW36" s="58">
        <f>IF(AT36=0,0,CYCLE/SUM($AT$6:AT36))</f>
        <v>67.343759031501875</v>
      </c>
      <c r="AX36" s="59">
        <f t="shared" si="25"/>
        <v>4.8065185546875E-3</v>
      </c>
      <c r="AY36" s="58">
        <f t="shared" si="26"/>
        <v>403200</v>
      </c>
      <c r="AZ36" s="60">
        <f t="shared" si="27"/>
        <v>5.1496515300289057E-2</v>
      </c>
      <c r="BB36" s="57">
        <f t="shared" si="28"/>
        <v>10080</v>
      </c>
      <c r="BC36" s="91"/>
      <c r="BD36" s="58">
        <f t="shared" si="29"/>
        <v>10080</v>
      </c>
      <c r="BE36" s="59">
        <f t="shared" si="30"/>
        <v>3.1536365371318799E-2</v>
      </c>
      <c r="BF36" s="58">
        <f t="shared" si="31"/>
        <v>208.05079365079365</v>
      </c>
      <c r="BG36" s="58">
        <f>IF(BD36=0,0,CYCLE/SUM($BD$6:BD36))</f>
        <v>70.480658712821381</v>
      </c>
      <c r="BH36" s="59">
        <f t="shared" si="32"/>
        <v>4.8065185546875E-3</v>
      </c>
      <c r="BI36" s="58">
        <f t="shared" si="33"/>
        <v>504000</v>
      </c>
      <c r="BJ36" s="60">
        <f t="shared" si="34"/>
        <v>5.0397933684718926E-2</v>
      </c>
    </row>
    <row r="37" spans="2:62" ht="15" x14ac:dyDescent="0.25">
      <c r="B37" s="44" t="s">
        <v>160</v>
      </c>
      <c r="C37" s="33" t="s">
        <v>44</v>
      </c>
      <c r="D37" s="33" t="s">
        <v>44</v>
      </c>
      <c r="E37" s="33" t="s">
        <v>35</v>
      </c>
      <c r="F37" s="121" t="s">
        <v>118</v>
      </c>
      <c r="H37" s="48">
        <v>10</v>
      </c>
      <c r="I37" s="49">
        <v>20</v>
      </c>
      <c r="J37" s="49">
        <v>30</v>
      </c>
      <c r="K37" s="49">
        <v>40</v>
      </c>
      <c r="L37" s="50">
        <v>50</v>
      </c>
      <c r="N37" s="57">
        <f t="shared" si="0"/>
        <v>32768</v>
      </c>
      <c r="O37" s="91"/>
      <c r="P37" s="58">
        <f t="shared" si="1"/>
        <v>32768</v>
      </c>
      <c r="Q37" s="59">
        <f t="shared" si="2"/>
        <v>0.12235585809289456</v>
      </c>
      <c r="R37" s="58">
        <f t="shared" si="3"/>
        <v>64</v>
      </c>
      <c r="S37" s="58">
        <f>IF(P37=0,0,CYCLE/SUM($P$6:P37))</f>
        <v>34.584211481060045</v>
      </c>
      <c r="T37" s="59">
        <f t="shared" si="4"/>
        <v>1.5625E-2</v>
      </c>
      <c r="U37" s="58">
        <f t="shared" si="5"/>
        <v>327680</v>
      </c>
      <c r="V37" s="60">
        <f t="shared" si="6"/>
        <v>0.17766500214165271</v>
      </c>
      <c r="X37" s="57">
        <f t="shared" si="7"/>
        <v>32768</v>
      </c>
      <c r="Y37" s="91"/>
      <c r="Z37" s="58">
        <f t="shared" si="8"/>
        <v>32768</v>
      </c>
      <c r="AA37" s="59">
        <f t="shared" si="9"/>
        <v>0.12172679081551155</v>
      </c>
      <c r="AB37" s="58">
        <f t="shared" si="10"/>
        <v>64</v>
      </c>
      <c r="AC37" s="58">
        <f>IF(Z37=0,0,CYCLE/SUM($Z$6:Z37))</f>
        <v>33.859437815845133</v>
      </c>
      <c r="AD37" s="59">
        <f t="shared" si="11"/>
        <v>1.5625E-2</v>
      </c>
      <c r="AE37" s="58">
        <f t="shared" si="12"/>
        <v>655360</v>
      </c>
      <c r="AF37" s="60">
        <f t="shared" si="13"/>
        <v>0.17398802557997778</v>
      </c>
      <c r="AH37" s="57">
        <f t="shared" si="14"/>
        <v>32768</v>
      </c>
      <c r="AI37" s="91"/>
      <c r="AJ37" s="58">
        <f t="shared" si="15"/>
        <v>32768</v>
      </c>
      <c r="AK37" s="59">
        <f t="shared" si="16"/>
        <v>0.1147093933018508</v>
      </c>
      <c r="AL37" s="58">
        <f t="shared" si="17"/>
        <v>64</v>
      </c>
      <c r="AM37" s="58">
        <f>IF(AJ37=0,0,CYCLE/SUM($AJ$6:AJ37))</f>
        <v>33.674582911829404</v>
      </c>
      <c r="AN37" s="59">
        <f t="shared" si="18"/>
        <v>1.5625E-2</v>
      </c>
      <c r="AO37" s="58">
        <f t="shared" si="19"/>
        <v>983040</v>
      </c>
      <c r="AP37" s="60">
        <f t="shared" si="20"/>
        <v>0.17045679174183453</v>
      </c>
      <c r="AR37" s="57">
        <f t="shared" si="21"/>
        <v>32768</v>
      </c>
      <c r="AS37" s="91"/>
      <c r="AT37" s="58">
        <f t="shared" si="22"/>
        <v>32768</v>
      </c>
      <c r="AU37" s="59">
        <f t="shared" si="23"/>
        <v>0.10756549684374313</v>
      </c>
      <c r="AV37" s="58">
        <f t="shared" si="24"/>
        <v>64</v>
      </c>
      <c r="AW37" s="58">
        <f>IF(AT37=0,0,CYCLE/SUM($AT$6:AT37))</f>
        <v>32.814658342330503</v>
      </c>
      <c r="AX37" s="59">
        <f t="shared" si="25"/>
        <v>1.5625E-2</v>
      </c>
      <c r="AY37" s="58">
        <f t="shared" si="26"/>
        <v>1310720</v>
      </c>
      <c r="AZ37" s="60">
        <f t="shared" si="27"/>
        <v>0.16740454497617777</v>
      </c>
      <c r="BB37" s="57">
        <f t="shared" si="28"/>
        <v>32768</v>
      </c>
      <c r="BC37" s="91"/>
      <c r="BD37" s="58">
        <f t="shared" si="29"/>
        <v>32768</v>
      </c>
      <c r="BE37" s="59">
        <f t="shared" si="30"/>
        <v>0.10251821631819191</v>
      </c>
      <c r="BF37" s="58">
        <f t="shared" si="31"/>
        <v>64</v>
      </c>
      <c r="BG37" s="58">
        <f>IF(BD37=0,0,CYCLE/SUM($BD$6:BD37))</f>
        <v>33.542088511427792</v>
      </c>
      <c r="BH37" s="59">
        <f t="shared" si="32"/>
        <v>1.5625E-2</v>
      </c>
      <c r="BI37" s="58">
        <f t="shared" si="33"/>
        <v>1638400</v>
      </c>
      <c r="BJ37" s="60">
        <f t="shared" si="34"/>
        <v>0.16383328283540374</v>
      </c>
    </row>
    <row r="38" spans="2:62" ht="15" x14ac:dyDescent="0.25">
      <c r="B38" s="44" t="s">
        <v>161</v>
      </c>
      <c r="C38" s="33" t="s">
        <v>42</v>
      </c>
      <c r="D38" s="33" t="s">
        <v>42</v>
      </c>
      <c r="E38" s="33" t="s">
        <v>34</v>
      </c>
      <c r="F38" s="121"/>
      <c r="H38" s="51">
        <f>VLOOKUP("2001-W34",PAYTABLE,COLUMN()-1,FALSE)*2</f>
        <v>10</v>
      </c>
      <c r="I38" s="52">
        <f>VLOOKUP("2001-W34",PAYTABLE,COLUMN()-1,FALSE)*2</f>
        <v>20</v>
      </c>
      <c r="J38" s="52">
        <f>VLOOKUP("2001-W34",PAYTABLE,COLUMN()-1,FALSE)*2</f>
        <v>30</v>
      </c>
      <c r="K38" s="52">
        <f>VLOOKUP("2001-W34",PAYTABLE,COLUMN()-1,FALSE)*2</f>
        <v>40</v>
      </c>
      <c r="L38" s="53">
        <f>VLOOKUP("2001-W34",PAYTABLE,COLUMN()-1,FALSE)*2</f>
        <v>50</v>
      </c>
      <c r="N38" s="57">
        <f t="shared" si="0"/>
        <v>2016</v>
      </c>
      <c r="O38" s="91">
        <f>SUM(VLOOKUP("2001-W09",PAYTABLE,COLUMN(),FALSE),VLOOKUP("2001-W11",PAYTABLE,COLUMN(),FALSE),VLOOKUP("2001-W18",PAYTABLE,COLUMN(),FALSE))</f>
        <v>744</v>
      </c>
      <c r="P38" s="58">
        <f t="shared" si="1"/>
        <v>1272</v>
      </c>
      <c r="Q38" s="59">
        <f t="shared" ref="Q38:Q48" si="35">P38/COIN1_HITS</f>
        <v>4.7496536710864836E-3</v>
      </c>
      <c r="R38" s="58">
        <f t="shared" ref="R38:R48" si="36">IF(P38=0,0,CYCLE/P38)</f>
        <v>1648.7044025157234</v>
      </c>
      <c r="S38" s="58">
        <f>IF(P38=0,0,CYCLE/SUM($P$6:P38))</f>
        <v>33.873657346836588</v>
      </c>
      <c r="T38" s="59">
        <f t="shared" ref="T38:T48" si="37">P38/CYCLE</f>
        <v>6.06536865234375E-4</v>
      </c>
      <c r="U38" s="58">
        <f t="shared" ref="U38:U48" si="38">H38*P38</f>
        <v>12720</v>
      </c>
      <c r="V38" s="60">
        <f t="shared" ref="V38:V48" si="39">U38/COIN1_COUT</f>
        <v>6.8966639014948197E-3</v>
      </c>
      <c r="X38" s="57">
        <f t="shared" si="7"/>
        <v>2016</v>
      </c>
      <c r="Y38" s="91">
        <f>SUM(VLOOKUP("2001-W09",PAYTABLE,COLUMN(),FALSE),VLOOKUP("2001-W11",PAYTABLE,COLUMN(),FALSE),VLOOKUP("2001-W18",PAYTABLE,COLUMN(),FALSE))</f>
        <v>744</v>
      </c>
      <c r="Z38" s="58">
        <f t="shared" ref="Z38:Z48" si="40">IF(I38="",0,X38-Y38)</f>
        <v>1272</v>
      </c>
      <c r="AA38" s="59">
        <f t="shared" ref="AA38:AA48" si="41">Z38/COIN2_HITS</f>
        <v>4.7252343114419764E-3</v>
      </c>
      <c r="AB38" s="58">
        <f t="shared" ref="AB38:AB48" si="42">IF(Z38=0,0,CYCLE/Z38)</f>
        <v>1648.7044025157234</v>
      </c>
      <c r="AC38" s="58">
        <f>IF(Z38=0,0,CYCLE/SUM($Z$6:Z38))</f>
        <v>33.178060086380107</v>
      </c>
      <c r="AD38" s="59">
        <f t="shared" ref="AD38:AD48" si="43">Z38/CYCLE</f>
        <v>6.06536865234375E-4</v>
      </c>
      <c r="AE38" s="58">
        <f t="shared" ref="AE38:AE48" si="44">I38*Z38</f>
        <v>25440</v>
      </c>
      <c r="AF38" s="60">
        <f t="shared" ref="AF38:AF48" si="45">AE38/COIN2_COUT</f>
        <v>6.75392970391027E-3</v>
      </c>
      <c r="AH38" s="57">
        <f t="shared" si="14"/>
        <v>2016</v>
      </c>
      <c r="AI38" s="91">
        <f>SUM(VLOOKUP("2001-W09",PAYTABLE,COLUMN(),FALSE),VLOOKUP("2001-W11",PAYTABLE,COLUMN(),FALSE),VLOOKUP("2001-W18",PAYTABLE,COLUMN(),FALSE))</f>
        <v>744</v>
      </c>
      <c r="AJ38" s="58">
        <f t="shared" ref="AJ38:AJ48" si="46">IF(J38="",0,AH38-AI38)</f>
        <v>1272</v>
      </c>
      <c r="AK38" s="59">
        <f t="shared" ref="AK38:AK48" si="47">AJ38/COIN3_HITS</f>
        <v>4.4528304528794619E-3</v>
      </c>
      <c r="AL38" s="58">
        <f t="shared" ref="AL38:AL48" si="48">IF(AJ38=0,0,CYCLE/AJ38)</f>
        <v>1648.7044025157234</v>
      </c>
      <c r="AM38" s="58">
        <f>IF(AJ38=0,0,CYCLE/SUM($AJ$6:AJ38))</f>
        <v>33.000550756109462</v>
      </c>
      <c r="AN38" s="59">
        <f t="shared" ref="AN38:AN48" si="49">AJ38/CYCLE</f>
        <v>6.06536865234375E-4</v>
      </c>
      <c r="AO38" s="58">
        <f t="shared" ref="AO38:AO48" si="50">J38*AJ38</f>
        <v>38160</v>
      </c>
      <c r="AP38" s="60">
        <f t="shared" ref="AP38:AP48" si="51">AO38/COIN3_COUT</f>
        <v>6.6168529997440648E-3</v>
      </c>
      <c r="AR38" s="57">
        <f t="shared" si="21"/>
        <v>2016</v>
      </c>
      <c r="AS38" s="91">
        <f>SUM(VLOOKUP("2001-W09",PAYTABLE,COLUMN(),FALSE),VLOOKUP("2001-W11",PAYTABLE,COLUMN(),FALSE),VLOOKUP("2001-W18",PAYTABLE,COLUMN(),FALSE))</f>
        <v>744</v>
      </c>
      <c r="AT38" s="58">
        <f t="shared" ref="AT38:AT48" si="52">IF(K38="",0,AR38-AS38)</f>
        <v>1272</v>
      </c>
      <c r="AU38" s="59">
        <f t="shared" ref="AU38:AU48" si="53">AT38/COIN4_HITS</f>
        <v>4.1755161128308486E-3</v>
      </c>
      <c r="AV38" s="58">
        <f t="shared" ref="AV38:AV48" si="54">IF(AT38=0,0,CYCLE/AT38)</f>
        <v>1648.7044025157234</v>
      </c>
      <c r="AW38" s="58">
        <f>IF(AT38=0,0,CYCLE/SUM($AT$6:AT38))</f>
        <v>32.174283917092403</v>
      </c>
      <c r="AX38" s="59">
        <f t="shared" ref="AX38:AX48" si="55">AT38/CYCLE</f>
        <v>6.06536865234375E-4</v>
      </c>
      <c r="AY38" s="58">
        <f t="shared" ref="AY38:AY48" si="56">K38*AT38</f>
        <v>50880</v>
      </c>
      <c r="AZ38" s="60">
        <f t="shared" ref="AZ38:AZ48" si="57">AY38/COIN4_COUT</f>
        <v>6.4983697878936188E-3</v>
      </c>
      <c r="BB38" s="57">
        <f t="shared" si="28"/>
        <v>2016</v>
      </c>
      <c r="BC38" s="91">
        <f>SUM(VLOOKUP("2001-W09",PAYTABLE,COLUMN(),FALSE),VLOOKUP("2001-W11",PAYTABLE,COLUMN(),FALSE),VLOOKUP("2001-W18",PAYTABLE,COLUMN(),FALSE))</f>
        <v>744</v>
      </c>
      <c r="BD38" s="58">
        <f t="shared" ref="BD38:BD48" si="58">IF(L38="",0,BB38-BC38)</f>
        <v>1272</v>
      </c>
      <c r="BE38" s="59">
        <f t="shared" ref="BE38:BE48" si="59">BD38/COIN5_HITS</f>
        <v>3.9795889635235631E-3</v>
      </c>
      <c r="BF38" s="58">
        <f t="shared" ref="BF38:BF48" si="60">IF(BD38=0,0,CYCLE/BD38)</f>
        <v>1648.7044025157234</v>
      </c>
      <c r="BG38" s="58">
        <f>IF(BD38=0,0,CYCLE/SUM($BD$6:BD38))</f>
        <v>32.873297280351125</v>
      </c>
      <c r="BH38" s="59">
        <f t="shared" ref="BH38:BH48" si="61">BD38/CYCLE</f>
        <v>6.06536865234375E-4</v>
      </c>
      <c r="BI38" s="58">
        <f t="shared" ref="BI38:BI48" si="62">L38*BD38</f>
        <v>63600</v>
      </c>
      <c r="BJ38" s="60">
        <f t="shared" ref="BJ38:BJ48" si="63">BI38/COIN5_COUT</f>
        <v>6.3597392506907213E-3</v>
      </c>
    </row>
    <row r="39" spans="2:62" x14ac:dyDescent="0.2">
      <c r="B39" s="44" t="s">
        <v>162</v>
      </c>
      <c r="C39" s="33" t="s">
        <v>42</v>
      </c>
      <c r="D39" s="33" t="s">
        <v>42</v>
      </c>
      <c r="E39" s="33" t="s">
        <v>42</v>
      </c>
      <c r="F39" s="120"/>
      <c r="H39" s="48">
        <v>5</v>
      </c>
      <c r="I39" s="49">
        <v>10</v>
      </c>
      <c r="J39" s="49">
        <v>15</v>
      </c>
      <c r="K39" s="49">
        <v>20</v>
      </c>
      <c r="L39" s="50">
        <v>25</v>
      </c>
      <c r="N39" s="57">
        <f t="shared" si="0"/>
        <v>10080</v>
      </c>
      <c r="O39" s="91">
        <f>SUM(VLOOKUP("2001-W15",PAYTABLE,COLUMN(),FALSE),VLOOKUP("2001-W22",PAYTABLE,COLUMN(),FALSE),VLOOKUP("2001-W28",PAYTABLE,COLUMN(),FALSE))</f>
        <v>1446</v>
      </c>
      <c r="P39" s="58">
        <f t="shared" si="1"/>
        <v>8634</v>
      </c>
      <c r="Q39" s="59">
        <f t="shared" si="35"/>
        <v>3.2239394493837024E-2</v>
      </c>
      <c r="R39" s="58">
        <f t="shared" si="36"/>
        <v>242.89460273337966</v>
      </c>
      <c r="S39" s="58">
        <f>IF(P39=0,0,CYCLE/SUM($P$6:P39))</f>
        <v>29.727861648593098</v>
      </c>
      <c r="T39" s="59">
        <f t="shared" si="37"/>
        <v>4.1170120239257813E-3</v>
      </c>
      <c r="U39" s="58">
        <f t="shared" si="38"/>
        <v>43170</v>
      </c>
      <c r="V39" s="60">
        <f t="shared" si="39"/>
        <v>2.3406366401535483E-2</v>
      </c>
      <c r="X39" s="57">
        <f t="shared" si="7"/>
        <v>10080</v>
      </c>
      <c r="Y39" s="91">
        <f>SUM(VLOOKUP("2001-W15",PAYTABLE,COLUMN(),FALSE),VLOOKUP("2001-W22",PAYTABLE,COLUMN(),FALSE),VLOOKUP("2001-W28",PAYTABLE,COLUMN(),FALSE))</f>
        <v>1446</v>
      </c>
      <c r="Z39" s="58">
        <f t="shared" si="40"/>
        <v>8634</v>
      </c>
      <c r="AA39" s="59">
        <f t="shared" si="41"/>
        <v>3.2073642330967003E-2</v>
      </c>
      <c r="AB39" s="58">
        <f t="shared" si="42"/>
        <v>242.89460273337966</v>
      </c>
      <c r="AC39" s="58">
        <f>IF(Z39=0,0,CYCLE/SUM($Z$6:Z39))</f>
        <v>29.190763191960247</v>
      </c>
      <c r="AD39" s="59">
        <f t="shared" si="43"/>
        <v>4.1170120239257813E-3</v>
      </c>
      <c r="AE39" s="58">
        <f t="shared" si="44"/>
        <v>86340</v>
      </c>
      <c r="AF39" s="60">
        <f t="shared" si="45"/>
        <v>2.2921945386619999E-2</v>
      </c>
      <c r="AH39" s="57">
        <f t="shared" si="14"/>
        <v>10080</v>
      </c>
      <c r="AI39" s="91">
        <f>SUM(VLOOKUP("2001-W15",PAYTABLE,COLUMN(),FALSE),VLOOKUP("2001-W22",PAYTABLE,COLUMN(),FALSE),VLOOKUP("2001-W28",PAYTABLE,COLUMN(),FALSE))</f>
        <v>1446</v>
      </c>
      <c r="AJ39" s="58">
        <f t="shared" si="46"/>
        <v>8634</v>
      </c>
      <c r="AK39" s="59">
        <f t="shared" si="47"/>
        <v>3.0224636894780877E-2</v>
      </c>
      <c r="AL39" s="58">
        <f t="shared" si="48"/>
        <v>242.89460273337966</v>
      </c>
      <c r="AM39" s="58">
        <f>IF(AJ39=0,0,CYCLE/SUM($AJ$6:AJ39))</f>
        <v>29.05326738982863</v>
      </c>
      <c r="AN39" s="59">
        <f t="shared" si="49"/>
        <v>4.1170120239257813E-3</v>
      </c>
      <c r="AO39" s="58">
        <f t="shared" si="50"/>
        <v>129510</v>
      </c>
      <c r="AP39" s="60">
        <f t="shared" si="51"/>
        <v>2.2456725157150258E-2</v>
      </c>
      <c r="AR39" s="57">
        <f t="shared" si="21"/>
        <v>10080</v>
      </c>
      <c r="AS39" s="91">
        <f>SUM(VLOOKUP("2001-W15",PAYTABLE,COLUMN(),FALSE),VLOOKUP("2001-W22",PAYTABLE,COLUMN(),FALSE),VLOOKUP("2001-W28",PAYTABLE,COLUMN(),FALSE))</f>
        <v>1446</v>
      </c>
      <c r="AT39" s="58">
        <f t="shared" si="52"/>
        <v>8634</v>
      </c>
      <c r="AU39" s="59">
        <f t="shared" si="53"/>
        <v>2.8342300407375433E-2</v>
      </c>
      <c r="AV39" s="58">
        <f t="shared" si="54"/>
        <v>242.89460273337966</v>
      </c>
      <c r="AW39" s="58">
        <f>IF(AT39=0,0,CYCLE/SUM($AT$6:AT39))</f>
        <v>28.410919189866558</v>
      </c>
      <c r="AX39" s="59">
        <f t="shared" si="55"/>
        <v>4.1170120239257813E-3</v>
      </c>
      <c r="AY39" s="58">
        <f t="shared" si="56"/>
        <v>172680</v>
      </c>
      <c r="AZ39" s="60">
        <f t="shared" si="57"/>
        <v>2.2054608784855937E-2</v>
      </c>
      <c r="BB39" s="57">
        <f t="shared" si="28"/>
        <v>10080</v>
      </c>
      <c r="BC39" s="91">
        <f>SUM(VLOOKUP("2001-W15",PAYTABLE,COLUMN(),FALSE),VLOOKUP("2001-W22",PAYTABLE,COLUMN(),FALSE),VLOOKUP("2001-W28",PAYTABLE,COLUMN(),FALSE))</f>
        <v>1446</v>
      </c>
      <c r="BD39" s="58">
        <f t="shared" si="58"/>
        <v>8634</v>
      </c>
      <c r="BE39" s="59">
        <f t="shared" si="59"/>
        <v>2.7012398672218902E-2</v>
      </c>
      <c r="BF39" s="58">
        <f t="shared" si="60"/>
        <v>242.89460273337966</v>
      </c>
      <c r="BG39" s="58">
        <f>IF(BD39=0,0,CYCLE/SUM($BD$6:BD39))</f>
        <v>28.954590012287895</v>
      </c>
      <c r="BH39" s="59">
        <f t="shared" si="61"/>
        <v>4.1170120239257813E-3</v>
      </c>
      <c r="BI39" s="58">
        <f t="shared" si="62"/>
        <v>215850</v>
      </c>
      <c r="BJ39" s="60">
        <f t="shared" si="63"/>
        <v>2.1584115051282899E-2</v>
      </c>
    </row>
    <row r="40" spans="2:62" x14ac:dyDescent="0.2">
      <c r="B40" s="44" t="s">
        <v>163</v>
      </c>
      <c r="C40" s="33" t="s">
        <v>42</v>
      </c>
      <c r="D40" s="33" t="s">
        <v>42</v>
      </c>
      <c r="E40" s="33" t="s">
        <v>45</v>
      </c>
      <c r="F40" s="120"/>
      <c r="H40" s="51">
        <f>VLOOKUP("2001-W34",PAYTABLE,COLUMN()-1,FALSE)</f>
        <v>5</v>
      </c>
      <c r="I40" s="52">
        <f>VLOOKUP("2001-W34",PAYTABLE,COLUMN()-1,FALSE)</f>
        <v>10</v>
      </c>
      <c r="J40" s="52">
        <f>VLOOKUP("2001-W34",PAYTABLE,COLUMN()-1,FALSE)</f>
        <v>15</v>
      </c>
      <c r="K40" s="52">
        <f>VLOOKUP("2001-W34",PAYTABLE,COLUMN()-1,FALSE)</f>
        <v>20</v>
      </c>
      <c r="L40" s="53">
        <f>VLOOKUP("2001-W34",PAYTABLE,COLUMN()-1,FALSE)</f>
        <v>25</v>
      </c>
      <c r="N40" s="57">
        <f t="shared" si="0"/>
        <v>2016</v>
      </c>
      <c r="O40" s="91">
        <f>SUM(VLOOKUP("2001-W14",PAYTABLE,COLUMN(),FALSE),VLOOKUP("2001-W21",PAYTABLE,COLUMN(),FALSE),VLOOKUP("2001-W27",PAYTABLE,COLUMN(),FALSE))</f>
        <v>744</v>
      </c>
      <c r="P40" s="58">
        <f t="shared" si="1"/>
        <v>1272</v>
      </c>
      <c r="Q40" s="59">
        <f t="shared" si="35"/>
        <v>4.7496536710864836E-3</v>
      </c>
      <c r="R40" s="58">
        <f t="shared" si="36"/>
        <v>1648.7044025157234</v>
      </c>
      <c r="S40" s="58">
        <f>IF(P40=0,0,CYCLE/SUM($P$6:P40))</f>
        <v>29.201331161145688</v>
      </c>
      <c r="T40" s="59">
        <f t="shared" si="37"/>
        <v>6.06536865234375E-4</v>
      </c>
      <c r="U40" s="58">
        <f t="shared" si="38"/>
        <v>6360</v>
      </c>
      <c r="V40" s="60">
        <f t="shared" si="39"/>
        <v>3.4483319507474098E-3</v>
      </c>
      <c r="X40" s="57">
        <f t="shared" si="7"/>
        <v>2016</v>
      </c>
      <c r="Y40" s="91">
        <f>SUM(VLOOKUP("2001-W14",PAYTABLE,COLUMN(),FALSE),VLOOKUP("2001-W21",PAYTABLE,COLUMN(),FALSE),VLOOKUP("2001-W27",PAYTABLE,COLUMN(),FALSE))</f>
        <v>744</v>
      </c>
      <c r="Z40" s="58">
        <f t="shared" si="40"/>
        <v>1272</v>
      </c>
      <c r="AA40" s="59">
        <f t="shared" si="41"/>
        <v>4.7252343114419764E-3</v>
      </c>
      <c r="AB40" s="58">
        <f t="shared" si="42"/>
        <v>1648.7044025157234</v>
      </c>
      <c r="AC40" s="58">
        <f>IF(Z40=0,0,CYCLE/SUM($Z$6:Z40))</f>
        <v>28.682924160568966</v>
      </c>
      <c r="AD40" s="59">
        <f t="shared" si="43"/>
        <v>6.06536865234375E-4</v>
      </c>
      <c r="AE40" s="58">
        <f t="shared" si="44"/>
        <v>12720</v>
      </c>
      <c r="AF40" s="60">
        <f t="shared" si="45"/>
        <v>3.376964851955135E-3</v>
      </c>
      <c r="AH40" s="57">
        <f t="shared" si="14"/>
        <v>2016</v>
      </c>
      <c r="AI40" s="91">
        <f>SUM(VLOOKUP("2001-W14",PAYTABLE,COLUMN(),FALSE),VLOOKUP("2001-W21",PAYTABLE,COLUMN(),FALSE),VLOOKUP("2001-W27",PAYTABLE,COLUMN(),FALSE))</f>
        <v>744</v>
      </c>
      <c r="AJ40" s="58">
        <f t="shared" si="46"/>
        <v>1272</v>
      </c>
      <c r="AK40" s="59">
        <f t="shared" si="47"/>
        <v>4.4528304528794619E-3</v>
      </c>
      <c r="AL40" s="58">
        <f t="shared" si="48"/>
        <v>1648.7044025157234</v>
      </c>
      <c r="AM40" s="58">
        <f>IF(AJ40=0,0,CYCLE/SUM($AJ$6:AJ40))</f>
        <v>28.550159961881423</v>
      </c>
      <c r="AN40" s="59">
        <f t="shared" si="49"/>
        <v>6.06536865234375E-4</v>
      </c>
      <c r="AO40" s="58">
        <f t="shared" si="50"/>
        <v>19080</v>
      </c>
      <c r="AP40" s="60">
        <f t="shared" si="51"/>
        <v>3.3084264998720324E-3</v>
      </c>
      <c r="AR40" s="57">
        <f t="shared" si="21"/>
        <v>2016</v>
      </c>
      <c r="AS40" s="91">
        <f>SUM(VLOOKUP("2001-W14",PAYTABLE,COLUMN(),FALSE),VLOOKUP("2001-W21",PAYTABLE,COLUMN(),FALSE),VLOOKUP("2001-W27",PAYTABLE,COLUMN(),FALSE))</f>
        <v>744</v>
      </c>
      <c r="AT40" s="58">
        <f t="shared" si="52"/>
        <v>1272</v>
      </c>
      <c r="AU40" s="59">
        <f t="shared" si="53"/>
        <v>4.1755161128308486E-3</v>
      </c>
      <c r="AV40" s="58">
        <f t="shared" si="54"/>
        <v>1648.7044025157234</v>
      </c>
      <c r="AW40" s="58">
        <f>IF(AT40=0,0,CYCLE/SUM($AT$6:AT40))</f>
        <v>27.92962829784117</v>
      </c>
      <c r="AX40" s="59">
        <f t="shared" si="55"/>
        <v>6.06536865234375E-4</v>
      </c>
      <c r="AY40" s="58">
        <f t="shared" si="56"/>
        <v>25440</v>
      </c>
      <c r="AZ40" s="60">
        <f t="shared" si="57"/>
        <v>3.2491848939468094E-3</v>
      </c>
      <c r="BB40" s="57">
        <f t="shared" si="28"/>
        <v>2016</v>
      </c>
      <c r="BC40" s="91">
        <f>SUM(VLOOKUP("2001-W14",PAYTABLE,COLUMN(),FALSE),VLOOKUP("2001-W21",PAYTABLE,COLUMN(),FALSE),VLOOKUP("2001-W27",PAYTABLE,COLUMN(),FALSE))</f>
        <v>744</v>
      </c>
      <c r="BD40" s="58">
        <f t="shared" si="58"/>
        <v>1272</v>
      </c>
      <c r="BE40" s="59">
        <f t="shared" si="59"/>
        <v>3.9795889635235631E-3</v>
      </c>
      <c r="BF40" s="58">
        <f t="shared" si="60"/>
        <v>1648.7044025157234</v>
      </c>
      <c r="BG40" s="58">
        <f>IF(BD40=0,0,CYCLE/SUM($BD$6:BD40))</f>
        <v>28.454864927205872</v>
      </c>
      <c r="BH40" s="59">
        <f t="shared" si="61"/>
        <v>6.06536865234375E-4</v>
      </c>
      <c r="BI40" s="58">
        <f t="shared" si="62"/>
        <v>31800</v>
      </c>
      <c r="BJ40" s="60">
        <f t="shared" si="63"/>
        <v>3.1798696253453607E-3</v>
      </c>
    </row>
    <row r="41" spans="2:62" ht="15" x14ac:dyDescent="0.25">
      <c r="B41" s="44" t="s">
        <v>164</v>
      </c>
      <c r="C41" s="33" t="s">
        <v>44</v>
      </c>
      <c r="D41" s="33" t="s">
        <v>44</v>
      </c>
      <c r="E41" s="33" t="s">
        <v>41</v>
      </c>
      <c r="F41" s="121" t="s">
        <v>128</v>
      </c>
      <c r="H41" s="48">
        <v>5</v>
      </c>
      <c r="I41" s="49">
        <v>10</v>
      </c>
      <c r="J41" s="49">
        <v>15</v>
      </c>
      <c r="K41" s="49">
        <v>20</v>
      </c>
      <c r="L41" s="50">
        <v>25</v>
      </c>
      <c r="N41" s="57">
        <f t="shared" si="0"/>
        <v>32768</v>
      </c>
      <c r="O41" s="91"/>
      <c r="P41" s="58">
        <f t="shared" si="1"/>
        <v>32768</v>
      </c>
      <c r="Q41" s="59">
        <f t="shared" si="35"/>
        <v>0.12235585809289456</v>
      </c>
      <c r="R41" s="58">
        <f t="shared" si="36"/>
        <v>64</v>
      </c>
      <c r="S41" s="58">
        <f>IF(P41=0,0,CYCLE/SUM($P$6:P41))</f>
        <v>20.05212984653631</v>
      </c>
      <c r="T41" s="59">
        <f t="shared" si="37"/>
        <v>1.5625E-2</v>
      </c>
      <c r="U41" s="58">
        <f t="shared" si="38"/>
        <v>163840</v>
      </c>
      <c r="V41" s="60">
        <f t="shared" si="39"/>
        <v>8.8832501070826353E-2</v>
      </c>
      <c r="X41" s="57">
        <f t="shared" si="7"/>
        <v>32768</v>
      </c>
      <c r="Y41" s="91"/>
      <c r="Z41" s="58">
        <f t="shared" si="40"/>
        <v>32768</v>
      </c>
      <c r="AA41" s="59">
        <f t="shared" si="41"/>
        <v>0.12172679081551155</v>
      </c>
      <c r="AB41" s="58">
        <f t="shared" si="42"/>
        <v>64</v>
      </c>
      <c r="AC41" s="58">
        <f>IF(Z41=0,0,CYCLE/SUM($Z$6:Z41))</f>
        <v>19.80631451696684</v>
      </c>
      <c r="AD41" s="59">
        <f t="shared" si="43"/>
        <v>1.5625E-2</v>
      </c>
      <c r="AE41" s="58">
        <f t="shared" si="44"/>
        <v>327680</v>
      </c>
      <c r="AF41" s="60">
        <f t="shared" si="45"/>
        <v>8.6994012789988889E-2</v>
      </c>
      <c r="AH41" s="57">
        <f t="shared" si="14"/>
        <v>32768</v>
      </c>
      <c r="AI41" s="91"/>
      <c r="AJ41" s="58">
        <f t="shared" si="46"/>
        <v>32768</v>
      </c>
      <c r="AK41" s="59">
        <f t="shared" si="47"/>
        <v>0.1147093933018508</v>
      </c>
      <c r="AL41" s="58">
        <f t="shared" si="48"/>
        <v>64</v>
      </c>
      <c r="AM41" s="58">
        <f>IF(AJ41=0,0,CYCLE/SUM($AJ$6:AJ41))</f>
        <v>19.742918200389745</v>
      </c>
      <c r="AN41" s="59">
        <f t="shared" si="49"/>
        <v>1.5625E-2</v>
      </c>
      <c r="AO41" s="58">
        <f t="shared" si="50"/>
        <v>491520</v>
      </c>
      <c r="AP41" s="60">
        <f t="shared" si="51"/>
        <v>8.5228395870917267E-2</v>
      </c>
      <c r="AR41" s="57">
        <f t="shared" si="21"/>
        <v>32768</v>
      </c>
      <c r="AS41" s="91"/>
      <c r="AT41" s="58">
        <f t="shared" si="52"/>
        <v>32768</v>
      </c>
      <c r="AU41" s="59">
        <f t="shared" si="53"/>
        <v>0.10756549684374313</v>
      </c>
      <c r="AV41" s="58">
        <f t="shared" si="54"/>
        <v>64</v>
      </c>
      <c r="AW41" s="58">
        <f>IF(AT41=0,0,CYCLE/SUM($AT$6:AT41))</f>
        <v>19.444179685689118</v>
      </c>
      <c r="AX41" s="59">
        <f t="shared" si="55"/>
        <v>1.5625E-2</v>
      </c>
      <c r="AY41" s="58">
        <f t="shared" si="56"/>
        <v>655360</v>
      </c>
      <c r="AZ41" s="60">
        <f t="shared" si="57"/>
        <v>8.3702272488088883E-2</v>
      </c>
      <c r="BB41" s="57">
        <f t="shared" si="28"/>
        <v>32768</v>
      </c>
      <c r="BC41" s="91"/>
      <c r="BD41" s="58">
        <f t="shared" si="58"/>
        <v>32768</v>
      </c>
      <c r="BE41" s="59">
        <f t="shared" si="59"/>
        <v>0.10251821631819191</v>
      </c>
      <c r="BF41" s="58">
        <f t="shared" si="60"/>
        <v>64</v>
      </c>
      <c r="BG41" s="58">
        <f>IF(BD41=0,0,CYCLE/SUM($BD$6:BD41))</f>
        <v>19.697301561957001</v>
      </c>
      <c r="BH41" s="59">
        <f t="shared" si="61"/>
        <v>1.5625E-2</v>
      </c>
      <c r="BI41" s="58">
        <f t="shared" si="62"/>
        <v>819200</v>
      </c>
      <c r="BJ41" s="60">
        <f t="shared" si="63"/>
        <v>8.1916641417701871E-2</v>
      </c>
    </row>
    <row r="42" spans="2:62" x14ac:dyDescent="0.2">
      <c r="B42" s="44" t="s">
        <v>165</v>
      </c>
      <c r="C42" s="33" t="s">
        <v>43</v>
      </c>
      <c r="D42" s="33" t="s">
        <v>43</v>
      </c>
      <c r="E42" s="33" t="s">
        <v>34</v>
      </c>
      <c r="F42" s="120"/>
      <c r="H42" s="51">
        <f>VLOOKUP("2001-W41",PAYTABLE,COLUMN()-1,FALSE)*2</f>
        <v>4</v>
      </c>
      <c r="I42" s="52">
        <f>VLOOKUP("2001-W41",PAYTABLE,COLUMN()-1,FALSE)*2</f>
        <v>8</v>
      </c>
      <c r="J42" s="52">
        <f>VLOOKUP("2001-W41",PAYTABLE,COLUMN()-1,FALSE)*2</f>
        <v>12</v>
      </c>
      <c r="K42" s="52">
        <f>VLOOKUP("2001-W41",PAYTABLE,COLUMN()-1,FALSE)*2</f>
        <v>16</v>
      </c>
      <c r="L42" s="53">
        <f>VLOOKUP("2001-W41",PAYTABLE,COLUMN()-1,FALSE)*2</f>
        <v>20</v>
      </c>
      <c r="N42" s="57">
        <f t="shared" si="0"/>
        <v>6080</v>
      </c>
      <c r="O42" s="91">
        <f>SUM(VLOOKUP("2001-W10",PAYTABLE,COLUMN(),FALSE),VLOOKUP("2001-W17",PAYTABLE,COLUMN(),FALSE),VLOOKUP("2001-W25",PAYTABLE,COLUMN(),FALSE))</f>
        <v>2416</v>
      </c>
      <c r="P42" s="58">
        <f t="shared" si="1"/>
        <v>3664</v>
      </c>
      <c r="Q42" s="59">
        <f t="shared" si="35"/>
        <v>1.368139233558245E-2</v>
      </c>
      <c r="R42" s="58">
        <f t="shared" si="36"/>
        <v>572.36681222707421</v>
      </c>
      <c r="S42" s="58">
        <f>IF(P42=0,0,CYCLE/SUM($P$6:P42))</f>
        <v>19.37340760653678</v>
      </c>
      <c r="T42" s="59">
        <f t="shared" si="37"/>
        <v>1.74713134765625E-3</v>
      </c>
      <c r="U42" s="58">
        <f t="shared" si="38"/>
        <v>14656</v>
      </c>
      <c r="V42" s="60">
        <f t="shared" si="39"/>
        <v>7.9463448223512628E-3</v>
      </c>
      <c r="X42" s="57">
        <f t="shared" si="7"/>
        <v>6232</v>
      </c>
      <c r="Y42" s="91">
        <f>SUM(VLOOKUP("2001-W10",PAYTABLE,COLUMN(),FALSE),VLOOKUP("2001-W17",PAYTABLE,COLUMN(),FALSE),VLOOKUP("2001-W25",PAYTABLE,COLUMN(),FALSE))</f>
        <v>2536</v>
      </c>
      <c r="Z42" s="58">
        <f t="shared" si="40"/>
        <v>3696</v>
      </c>
      <c r="AA42" s="59">
        <f t="shared" si="41"/>
        <v>1.3729926112491781E-2</v>
      </c>
      <c r="AB42" s="58">
        <f t="shared" si="42"/>
        <v>567.41125541125541</v>
      </c>
      <c r="AC42" s="58">
        <f>IF(Z42=0,0,CYCLE/SUM($Z$6:Z42))</f>
        <v>19.138265543580431</v>
      </c>
      <c r="AD42" s="59">
        <f t="shared" si="43"/>
        <v>1.76239013671875E-3</v>
      </c>
      <c r="AE42" s="58">
        <f t="shared" si="44"/>
        <v>29568</v>
      </c>
      <c r="AF42" s="60">
        <f t="shared" si="45"/>
        <v>7.8498503728466531E-3</v>
      </c>
      <c r="AH42" s="57">
        <f t="shared" si="14"/>
        <v>6232</v>
      </c>
      <c r="AI42" s="91">
        <f>SUM(VLOOKUP("2001-W10",PAYTABLE,COLUMN(),FALSE),VLOOKUP("2001-W17",PAYTABLE,COLUMN(),FALSE),VLOOKUP("2001-W25",PAYTABLE,COLUMN(),FALSE))</f>
        <v>2536</v>
      </c>
      <c r="AJ42" s="58">
        <f t="shared" si="46"/>
        <v>3696</v>
      </c>
      <c r="AK42" s="59">
        <f t="shared" si="47"/>
        <v>1.2938413014027116E-2</v>
      </c>
      <c r="AL42" s="58">
        <f t="shared" si="48"/>
        <v>567.41125541125541</v>
      </c>
      <c r="AM42" s="58">
        <f>IF(AJ42=0,0,CYCLE/SUM($AJ$6:AJ42))</f>
        <v>19.07906731320336</v>
      </c>
      <c r="AN42" s="59">
        <f t="shared" si="49"/>
        <v>1.76239013671875E-3</v>
      </c>
      <c r="AO42" s="58">
        <f t="shared" si="50"/>
        <v>44352</v>
      </c>
      <c r="AP42" s="60">
        <f t="shared" si="51"/>
        <v>7.6905310336648006E-3</v>
      </c>
      <c r="AR42" s="57">
        <f t="shared" si="21"/>
        <v>6232</v>
      </c>
      <c r="AS42" s="91">
        <f>SUM(VLOOKUP("2001-W10",PAYTABLE,COLUMN(),FALSE),VLOOKUP("2001-W17",PAYTABLE,COLUMN(),FALSE),VLOOKUP("2001-W25",PAYTABLE,COLUMN(),FALSE))</f>
        <v>2536</v>
      </c>
      <c r="AT42" s="58">
        <f t="shared" si="52"/>
        <v>3696</v>
      </c>
      <c r="AU42" s="59">
        <f t="shared" si="53"/>
        <v>1.2132631724074543E-2</v>
      </c>
      <c r="AV42" s="58">
        <f t="shared" si="54"/>
        <v>567.41125541125541</v>
      </c>
      <c r="AW42" s="58">
        <f>IF(AT42=0,0,CYCLE/SUM($AT$6:AT42))</f>
        <v>18.799939041335353</v>
      </c>
      <c r="AX42" s="59">
        <f t="shared" si="55"/>
        <v>1.76239013671875E-3</v>
      </c>
      <c r="AY42" s="58">
        <f t="shared" si="56"/>
        <v>59136</v>
      </c>
      <c r="AZ42" s="60">
        <f t="shared" si="57"/>
        <v>7.5528222440423946E-3</v>
      </c>
      <c r="BB42" s="57">
        <f t="shared" si="28"/>
        <v>6232</v>
      </c>
      <c r="BC42" s="91">
        <f>SUM(VLOOKUP("2001-W10",PAYTABLE,COLUMN(),FALSE),VLOOKUP("2001-W17",PAYTABLE,COLUMN(),FALSE),VLOOKUP("2001-W25",PAYTABLE,COLUMN(),FALSE))</f>
        <v>2536</v>
      </c>
      <c r="BD42" s="58">
        <f t="shared" si="58"/>
        <v>3696</v>
      </c>
      <c r="BE42" s="59">
        <f t="shared" si="59"/>
        <v>1.1563333969483561E-2</v>
      </c>
      <c r="BF42" s="58">
        <f t="shared" si="60"/>
        <v>567.41125541125541</v>
      </c>
      <c r="BG42" s="58">
        <f>IF(BD42=0,0,CYCLE/SUM($BD$6:BD42))</f>
        <v>19.0364634865883</v>
      </c>
      <c r="BH42" s="59">
        <f t="shared" si="61"/>
        <v>1.76239013671875E-3</v>
      </c>
      <c r="BI42" s="58">
        <f t="shared" si="62"/>
        <v>73920</v>
      </c>
      <c r="BJ42" s="60">
        <f t="shared" si="63"/>
        <v>7.3916969404254429E-3</v>
      </c>
    </row>
    <row r="43" spans="2:62" x14ac:dyDescent="0.2">
      <c r="B43" s="44" t="s">
        <v>166</v>
      </c>
      <c r="C43" s="33" t="s">
        <v>36</v>
      </c>
      <c r="D43" s="33" t="s">
        <v>44</v>
      </c>
      <c r="E43" s="33" t="s">
        <v>44</v>
      </c>
      <c r="F43" s="120"/>
      <c r="H43" s="48">
        <v>4</v>
      </c>
      <c r="I43" s="49">
        <v>8</v>
      </c>
      <c r="J43" s="49">
        <v>12</v>
      </c>
      <c r="K43" s="49">
        <v>16</v>
      </c>
      <c r="L43" s="50">
        <v>20</v>
      </c>
      <c r="N43" s="57">
        <f t="shared" si="0"/>
        <v>32768</v>
      </c>
      <c r="O43" s="91">
        <f>VLOOKUP("2001-W02",PAYTABLE,COLUMN(),FALSE)+VLOOKUP("2001-W13",PAYTABLE,COLUMN(),FALSE)</f>
        <v>768</v>
      </c>
      <c r="P43" s="58">
        <f t="shared" si="1"/>
        <v>32000</v>
      </c>
      <c r="Q43" s="59">
        <f t="shared" si="35"/>
        <v>0.11948814266884235</v>
      </c>
      <c r="R43" s="58">
        <f t="shared" si="36"/>
        <v>65.536000000000001</v>
      </c>
      <c r="S43" s="58">
        <f>IF(P43=0,0,CYCLE/SUM($P$6:P43))</f>
        <v>14.953062053918387</v>
      </c>
      <c r="T43" s="59">
        <f t="shared" si="37"/>
        <v>1.52587890625E-2</v>
      </c>
      <c r="U43" s="58">
        <f t="shared" si="38"/>
        <v>128000</v>
      </c>
      <c r="V43" s="60">
        <f t="shared" si="39"/>
        <v>6.9400391461583083E-2</v>
      </c>
      <c r="X43" s="57">
        <f t="shared" si="7"/>
        <v>32768</v>
      </c>
      <c r="Y43" s="91">
        <f>VLOOKUP("2001-W02",PAYTABLE,COLUMN(),FALSE)+VLOOKUP("2001-W13",PAYTABLE,COLUMN(),FALSE)</f>
        <v>768</v>
      </c>
      <c r="Z43" s="58">
        <f t="shared" si="40"/>
        <v>32000</v>
      </c>
      <c r="AA43" s="59">
        <f t="shared" si="41"/>
        <v>0.118873819155773</v>
      </c>
      <c r="AB43" s="58">
        <f t="shared" si="42"/>
        <v>65.536000000000001</v>
      </c>
      <c r="AC43" s="58">
        <f>IF(Z43=0,0,CYCLE/SUM($Z$6:Z43))</f>
        <v>14.812592262976853</v>
      </c>
      <c r="AD43" s="59">
        <f t="shared" si="43"/>
        <v>1.52587890625E-2</v>
      </c>
      <c r="AE43" s="58">
        <f t="shared" si="44"/>
        <v>256000</v>
      </c>
      <c r="AF43" s="60">
        <f t="shared" si="45"/>
        <v>6.7964072492178826E-2</v>
      </c>
      <c r="AH43" s="57">
        <f t="shared" si="14"/>
        <v>32768</v>
      </c>
      <c r="AI43" s="91">
        <f>VLOOKUP("2001-W02",PAYTABLE,COLUMN(),FALSE)+VLOOKUP("2001-W13",PAYTABLE,COLUMN(),FALSE)</f>
        <v>768</v>
      </c>
      <c r="AJ43" s="58">
        <f t="shared" si="46"/>
        <v>32000</v>
      </c>
      <c r="AK43" s="59">
        <f t="shared" si="47"/>
        <v>0.11202089189633867</v>
      </c>
      <c r="AL43" s="58">
        <f t="shared" si="48"/>
        <v>65.536000000000001</v>
      </c>
      <c r="AM43" s="58">
        <f>IF(AJ43=0,0,CYCLE/SUM($AJ$6:AJ43))</f>
        <v>14.777105250177918</v>
      </c>
      <c r="AN43" s="59">
        <f t="shared" si="49"/>
        <v>1.52587890625E-2</v>
      </c>
      <c r="AO43" s="58">
        <f t="shared" si="50"/>
        <v>384000</v>
      </c>
      <c r="AP43" s="60">
        <f t="shared" si="51"/>
        <v>6.6584684274154121E-2</v>
      </c>
      <c r="AR43" s="57">
        <f t="shared" si="21"/>
        <v>32768</v>
      </c>
      <c r="AS43" s="91">
        <f>VLOOKUP("2001-W02",PAYTABLE,COLUMN(),FALSE)+VLOOKUP("2001-W13",PAYTABLE,COLUMN(),FALSE)</f>
        <v>768</v>
      </c>
      <c r="AT43" s="58">
        <f t="shared" si="52"/>
        <v>32000</v>
      </c>
      <c r="AU43" s="59">
        <f t="shared" si="53"/>
        <v>0.1050444305114679</v>
      </c>
      <c r="AV43" s="58">
        <f t="shared" si="54"/>
        <v>65.536000000000001</v>
      </c>
      <c r="AW43" s="58">
        <f>IF(AT43=0,0,CYCLE/SUM($AT$6:AT43))</f>
        <v>14.609107564558938</v>
      </c>
      <c r="AX43" s="59">
        <f t="shared" si="55"/>
        <v>1.52587890625E-2</v>
      </c>
      <c r="AY43" s="58">
        <f t="shared" si="56"/>
        <v>512000</v>
      </c>
      <c r="AZ43" s="60">
        <f t="shared" si="57"/>
        <v>6.5392400381319438E-2</v>
      </c>
      <c r="BB43" s="57">
        <f t="shared" si="28"/>
        <v>32768</v>
      </c>
      <c r="BC43" s="91">
        <f>VLOOKUP("2001-W02",PAYTABLE,COLUMN(),FALSE)+VLOOKUP("2001-W13",PAYTABLE,COLUMN(),FALSE)</f>
        <v>768</v>
      </c>
      <c r="BD43" s="58">
        <f t="shared" si="58"/>
        <v>32000</v>
      </c>
      <c r="BE43" s="59">
        <f t="shared" si="59"/>
        <v>0.10011544562323429</v>
      </c>
      <c r="BF43" s="58">
        <f t="shared" si="60"/>
        <v>65.536000000000001</v>
      </c>
      <c r="BG43" s="58">
        <f>IF(BD43=0,0,CYCLE/SUM($BD$6:BD43))</f>
        <v>14.751535187985791</v>
      </c>
      <c r="BH43" s="59">
        <f t="shared" si="61"/>
        <v>1.52587890625E-2</v>
      </c>
      <c r="BI43" s="58">
        <f t="shared" si="62"/>
        <v>640000</v>
      </c>
      <c r="BJ43" s="60">
        <f t="shared" si="63"/>
        <v>6.3997376107579593E-2</v>
      </c>
    </row>
    <row r="44" spans="2:62" x14ac:dyDescent="0.2">
      <c r="B44" s="44" t="s">
        <v>167</v>
      </c>
      <c r="C44" s="33" t="s">
        <v>37</v>
      </c>
      <c r="D44" s="33" t="s">
        <v>44</v>
      </c>
      <c r="E44" s="33" t="s">
        <v>44</v>
      </c>
      <c r="F44" s="120"/>
      <c r="H44" s="48">
        <v>3</v>
      </c>
      <c r="I44" s="49">
        <v>6</v>
      </c>
      <c r="J44" s="49">
        <v>9</v>
      </c>
      <c r="K44" s="49">
        <v>12</v>
      </c>
      <c r="L44" s="50">
        <v>15</v>
      </c>
      <c r="N44" s="57">
        <f t="shared" si="0"/>
        <v>32768</v>
      </c>
      <c r="O44" s="91">
        <f>VLOOKUP("2001-W03",PAYTABLE,COLUMN(),FALSE)+VLOOKUP("2001-W16",PAYTABLE,COLUMN(),FALSE)</f>
        <v>1024</v>
      </c>
      <c r="P44" s="58">
        <f t="shared" si="1"/>
        <v>31744</v>
      </c>
      <c r="Q44" s="59">
        <f t="shared" si="35"/>
        <v>0.1185322375274916</v>
      </c>
      <c r="R44" s="58">
        <f t="shared" si="36"/>
        <v>66.064516129032256</v>
      </c>
      <c r="S44" s="58">
        <f>IF(P44=0,0,CYCLE/SUM($P$6:P44))</f>
        <v>12.193240422575338</v>
      </c>
      <c r="T44" s="59">
        <f t="shared" si="37"/>
        <v>1.513671875E-2</v>
      </c>
      <c r="U44" s="58">
        <f t="shared" si="38"/>
        <v>95232</v>
      </c>
      <c r="V44" s="60">
        <f t="shared" si="39"/>
        <v>5.1633891247417817E-2</v>
      </c>
      <c r="X44" s="57">
        <f t="shared" si="7"/>
        <v>49152</v>
      </c>
      <c r="Y44" s="91">
        <f>VLOOKUP("2001-W03",PAYTABLE,COLUMN(),FALSE)+VLOOKUP("2001-W16",PAYTABLE,COLUMN(),FALSE)</f>
        <v>1536</v>
      </c>
      <c r="Z44" s="58">
        <f t="shared" si="40"/>
        <v>47616</v>
      </c>
      <c r="AA44" s="59">
        <f t="shared" si="41"/>
        <v>0.17688424290379021</v>
      </c>
      <c r="AB44" s="58">
        <f t="shared" si="42"/>
        <v>44.043010752688176</v>
      </c>
      <c r="AC44" s="58">
        <f>IF(Z44=0,0,CYCLE/SUM($Z$6:Z44))</f>
        <v>11.084605829963794</v>
      </c>
      <c r="AD44" s="59">
        <f t="shared" si="43"/>
        <v>2.2705078125E-2</v>
      </c>
      <c r="AE44" s="58">
        <f t="shared" si="44"/>
        <v>285696</v>
      </c>
      <c r="AF44" s="60">
        <f t="shared" si="45"/>
        <v>7.5847904901271565E-2</v>
      </c>
      <c r="AH44" s="57">
        <f t="shared" si="14"/>
        <v>49152</v>
      </c>
      <c r="AI44" s="91">
        <f>VLOOKUP("2001-W03",PAYTABLE,COLUMN(),FALSE)+VLOOKUP("2001-W16",PAYTABLE,COLUMN(),FALSE)</f>
        <v>1536</v>
      </c>
      <c r="AJ44" s="58">
        <f t="shared" si="46"/>
        <v>47616</v>
      </c>
      <c r="AK44" s="59">
        <f t="shared" si="47"/>
        <v>0.16668708714175193</v>
      </c>
      <c r="AL44" s="58">
        <f t="shared" si="48"/>
        <v>44.043010752688176</v>
      </c>
      <c r="AM44" s="58">
        <f>IF(AJ44=0,0,CYCLE/SUM($AJ$6:AJ44))</f>
        <v>11.06472155538555</v>
      </c>
      <c r="AN44" s="59">
        <f t="shared" si="49"/>
        <v>2.2705078125E-2</v>
      </c>
      <c r="AO44" s="58">
        <f t="shared" si="50"/>
        <v>428544</v>
      </c>
      <c r="AP44" s="60">
        <f t="shared" si="51"/>
        <v>7.4308507649955988E-2</v>
      </c>
      <c r="AR44" s="57">
        <f t="shared" si="21"/>
        <v>49152</v>
      </c>
      <c r="AS44" s="91">
        <f>VLOOKUP("2001-W03",PAYTABLE,COLUMN(),FALSE)+VLOOKUP("2001-W16",PAYTABLE,COLUMN(),FALSE)</f>
        <v>1536</v>
      </c>
      <c r="AT44" s="58">
        <f t="shared" si="52"/>
        <v>47616</v>
      </c>
      <c r="AU44" s="59">
        <f t="shared" si="53"/>
        <v>0.15630611260106422</v>
      </c>
      <c r="AV44" s="58">
        <f t="shared" si="54"/>
        <v>44.043010752688176</v>
      </c>
      <c r="AW44" s="58">
        <f>IF(AT44=0,0,CYCLE/SUM($AT$6:AT44))</f>
        <v>10.970261603728677</v>
      </c>
      <c r="AX44" s="59">
        <f t="shared" si="55"/>
        <v>2.2705078125E-2</v>
      </c>
      <c r="AY44" s="58">
        <f t="shared" si="56"/>
        <v>571392</v>
      </c>
      <c r="AZ44" s="60">
        <f t="shared" si="57"/>
        <v>7.297791882555249E-2</v>
      </c>
      <c r="BB44" s="57">
        <f t="shared" si="28"/>
        <v>49152</v>
      </c>
      <c r="BC44" s="91">
        <f>VLOOKUP("2001-W03",PAYTABLE,COLUMN(),FALSE)+VLOOKUP("2001-W16",PAYTABLE,COLUMN(),FALSE)</f>
        <v>1536</v>
      </c>
      <c r="BD44" s="58">
        <f t="shared" si="58"/>
        <v>47616</v>
      </c>
      <c r="BE44" s="59">
        <f t="shared" si="59"/>
        <v>0.14897178308737263</v>
      </c>
      <c r="BF44" s="58">
        <f t="shared" si="60"/>
        <v>44.043010752688176</v>
      </c>
      <c r="BG44" s="58">
        <f>IF(BD44=0,0,CYCLE/SUM($BD$6:BD44))</f>
        <v>11.05037912119759</v>
      </c>
      <c r="BH44" s="59">
        <f t="shared" si="61"/>
        <v>2.2705078125E-2</v>
      </c>
      <c r="BI44" s="58">
        <f t="shared" si="62"/>
        <v>714240</v>
      </c>
      <c r="BJ44" s="60">
        <f t="shared" si="63"/>
        <v>7.1421071736058828E-2</v>
      </c>
    </row>
    <row r="45" spans="2:62" x14ac:dyDescent="0.2">
      <c r="B45" s="44" t="s">
        <v>211</v>
      </c>
      <c r="C45" s="33" t="s">
        <v>38</v>
      </c>
      <c r="D45" s="33" t="s">
        <v>44</v>
      </c>
      <c r="E45" s="33" t="s">
        <v>44</v>
      </c>
      <c r="F45" s="120"/>
      <c r="H45" s="48">
        <v>2</v>
      </c>
      <c r="I45" s="49">
        <v>4</v>
      </c>
      <c r="J45" s="49">
        <v>6</v>
      </c>
      <c r="K45" s="49">
        <v>8</v>
      </c>
      <c r="L45" s="50">
        <v>10</v>
      </c>
      <c r="N45" s="57">
        <f t="shared" si="0"/>
        <v>49152</v>
      </c>
      <c r="O45" s="91">
        <f>VLOOKUP("2001-W04",PAYTABLE,COLUMN(),FALSE)+VLOOKUP("2001-W24",PAYTABLE,COLUMN(),FALSE)</f>
        <v>1536</v>
      </c>
      <c r="P45" s="58">
        <f t="shared" si="1"/>
        <v>47616</v>
      </c>
      <c r="Q45" s="59">
        <f t="shared" si="35"/>
        <v>0.17779835629123741</v>
      </c>
      <c r="R45" s="58">
        <f t="shared" si="36"/>
        <v>44.043010752688176</v>
      </c>
      <c r="S45" s="58">
        <f>IF(P45=0,0,CYCLE/SUM($P$6:P45))</f>
        <v>9.5494811232690822</v>
      </c>
      <c r="T45" s="59">
        <f t="shared" si="37"/>
        <v>2.2705078125E-2</v>
      </c>
      <c r="U45" s="58">
        <f t="shared" si="38"/>
        <v>95232</v>
      </c>
      <c r="V45" s="60">
        <f t="shared" si="39"/>
        <v>5.1633891247417817E-2</v>
      </c>
      <c r="X45" s="57">
        <f t="shared" si="7"/>
        <v>32768</v>
      </c>
      <c r="Y45" s="91">
        <f>VLOOKUP("2001-W04",PAYTABLE,COLUMN(),FALSE)+VLOOKUP("2001-W24",PAYTABLE,COLUMN(),FALSE)</f>
        <v>1280</v>
      </c>
      <c r="Z45" s="58">
        <f t="shared" si="40"/>
        <v>31488</v>
      </c>
      <c r="AA45" s="59">
        <f t="shared" si="41"/>
        <v>0.11697183804928063</v>
      </c>
      <c r="AB45" s="58">
        <f t="shared" si="42"/>
        <v>66.60162601626017</v>
      </c>
      <c r="AC45" s="58">
        <f>IF(Z45=0,0,CYCLE/SUM($Z$6:Z45))</f>
        <v>9.5030065750420292</v>
      </c>
      <c r="AD45" s="59">
        <f t="shared" si="43"/>
        <v>1.50146484375E-2</v>
      </c>
      <c r="AE45" s="58">
        <f t="shared" si="44"/>
        <v>125952</v>
      </c>
      <c r="AF45" s="60">
        <f t="shared" si="45"/>
        <v>3.343832366615198E-2</v>
      </c>
      <c r="AH45" s="57">
        <f t="shared" si="14"/>
        <v>49152</v>
      </c>
      <c r="AI45" s="91">
        <f>VLOOKUP("2001-W04",PAYTABLE,COLUMN(),FALSE)+VLOOKUP("2001-W24",PAYTABLE,COLUMN(),FALSE)</f>
        <v>1536</v>
      </c>
      <c r="AJ45" s="58">
        <f t="shared" si="46"/>
        <v>47616</v>
      </c>
      <c r="AK45" s="59">
        <f t="shared" si="47"/>
        <v>0.16668708714175193</v>
      </c>
      <c r="AL45" s="58">
        <f t="shared" si="48"/>
        <v>44.043010752688176</v>
      </c>
      <c r="AM45" s="58">
        <f>IF(AJ45=0,0,CYCLE/SUM($AJ$6:AJ45))</f>
        <v>8.8431083992899033</v>
      </c>
      <c r="AN45" s="59">
        <f t="shared" si="49"/>
        <v>2.2705078125E-2</v>
      </c>
      <c r="AO45" s="58">
        <f t="shared" si="50"/>
        <v>285696</v>
      </c>
      <c r="AP45" s="60">
        <f t="shared" si="51"/>
        <v>4.9539005099970661E-2</v>
      </c>
      <c r="AR45" s="57">
        <f t="shared" si="21"/>
        <v>65536</v>
      </c>
      <c r="AS45" s="91">
        <f>VLOOKUP("2001-W04",PAYTABLE,COLUMN(),FALSE)+VLOOKUP("2001-W24",PAYTABLE,COLUMN(),FALSE)</f>
        <v>2048</v>
      </c>
      <c r="AT45" s="58">
        <f t="shared" si="52"/>
        <v>63488</v>
      </c>
      <c r="AU45" s="59">
        <f t="shared" si="53"/>
        <v>0.20840815013475231</v>
      </c>
      <c r="AV45" s="58">
        <f t="shared" si="54"/>
        <v>33.032258064516128</v>
      </c>
      <c r="AW45" s="58">
        <f>IF(AT45=0,0,CYCLE/SUM($AT$6:AT45))</f>
        <v>8.2352673224558721</v>
      </c>
      <c r="AX45" s="59">
        <f t="shared" si="55"/>
        <v>3.02734375E-2</v>
      </c>
      <c r="AY45" s="58">
        <f t="shared" si="56"/>
        <v>507904</v>
      </c>
      <c r="AZ45" s="60">
        <f t="shared" si="57"/>
        <v>6.4869261178268883E-2</v>
      </c>
      <c r="BB45" s="57">
        <f t="shared" si="28"/>
        <v>65536</v>
      </c>
      <c r="BC45" s="91">
        <f>VLOOKUP("2001-W04",PAYTABLE,COLUMN(),FALSE)+VLOOKUP("2001-W24",PAYTABLE,COLUMN(),FALSE)</f>
        <v>2048</v>
      </c>
      <c r="BD45" s="58">
        <f t="shared" si="58"/>
        <v>63488</v>
      </c>
      <c r="BE45" s="59">
        <f t="shared" si="59"/>
        <v>0.19862904411649684</v>
      </c>
      <c r="BF45" s="58">
        <f t="shared" si="60"/>
        <v>33.032258064516128</v>
      </c>
      <c r="BG45" s="58">
        <f>IF(BD45=0,0,CYCLE/SUM($BD$6:BD45))</f>
        <v>8.2803343480647058</v>
      </c>
      <c r="BH45" s="59">
        <f t="shared" si="61"/>
        <v>3.02734375E-2</v>
      </c>
      <c r="BI45" s="58">
        <f t="shared" si="62"/>
        <v>634880</v>
      </c>
      <c r="BJ45" s="60">
        <f t="shared" si="63"/>
        <v>6.3485397098718949E-2</v>
      </c>
    </row>
    <row r="46" spans="2:62" x14ac:dyDescent="0.2">
      <c r="B46" s="44" t="s">
        <v>212</v>
      </c>
      <c r="C46" s="33" t="s">
        <v>43</v>
      </c>
      <c r="D46" s="33" t="s">
        <v>43</v>
      </c>
      <c r="E46" s="33" t="s">
        <v>43</v>
      </c>
      <c r="F46" s="120"/>
      <c r="H46" s="48">
        <v>2</v>
      </c>
      <c r="I46" s="49">
        <v>4</v>
      </c>
      <c r="J46" s="49">
        <v>6</v>
      </c>
      <c r="K46" s="49">
        <v>8</v>
      </c>
      <c r="L46" s="50">
        <v>10</v>
      </c>
      <c r="N46" s="57">
        <f t="shared" si="0"/>
        <v>54720</v>
      </c>
      <c r="O46" s="91">
        <f>SUM(VLOOKUP("2001-W20",PAYTABLE,COLUMN(),FALSE),VLOOKUP("2001-W29",PAYTABLE,COLUMN(),FALSE),VLOOKUP("2001-W31",PAYTABLE,COLUMN(),FALSE))</f>
        <v>10184</v>
      </c>
      <c r="P46" s="58">
        <f t="shared" si="1"/>
        <v>44536</v>
      </c>
      <c r="Q46" s="59">
        <f t="shared" si="35"/>
        <v>0.16629762255936134</v>
      </c>
      <c r="R46" s="58">
        <f t="shared" si="36"/>
        <v>47.088916831327467</v>
      </c>
      <c r="S46" s="58">
        <f>IF(P46=0,0,CYCLE/SUM($P$6:P46))</f>
        <v>7.9393969221450336</v>
      </c>
      <c r="T46" s="59">
        <f t="shared" si="37"/>
        <v>2.1236419677734375E-2</v>
      </c>
      <c r="U46" s="58">
        <f t="shared" si="38"/>
        <v>89072</v>
      </c>
      <c r="V46" s="60">
        <f t="shared" si="39"/>
        <v>4.8293997408329133E-2</v>
      </c>
      <c r="X46" s="57">
        <f t="shared" si="7"/>
        <v>56088</v>
      </c>
      <c r="Y46" s="91">
        <f>SUM(VLOOKUP("2001-W20",PAYTABLE,COLUMN(),FALSE),VLOOKUP("2001-W29",PAYTABLE,COLUMN(),FALSE),VLOOKUP("2001-W31",PAYTABLE,COLUMN(),FALSE))</f>
        <v>11274</v>
      </c>
      <c r="Z46" s="58">
        <f t="shared" si="40"/>
        <v>44814</v>
      </c>
      <c r="AA46" s="59">
        <f t="shared" si="41"/>
        <v>0.16647535411396283</v>
      </c>
      <c r="AB46" s="58">
        <f t="shared" si="42"/>
        <v>46.796804570000447</v>
      </c>
      <c r="AC46" s="58">
        <f>IF(Z46=0,0,CYCLE/SUM($Z$6:Z46))</f>
        <v>7.8989668433164972</v>
      </c>
      <c r="AD46" s="59">
        <f t="shared" si="43"/>
        <v>2.1368980407714844E-2</v>
      </c>
      <c r="AE46" s="58">
        <f t="shared" si="44"/>
        <v>179256</v>
      </c>
      <c r="AF46" s="60">
        <f t="shared" si="45"/>
        <v>4.758971788538284E-2</v>
      </c>
      <c r="AH46" s="57">
        <f t="shared" si="14"/>
        <v>56088</v>
      </c>
      <c r="AI46" s="91">
        <f>SUM(VLOOKUP("2001-W20",PAYTABLE,COLUMN(),FALSE),VLOOKUP("2001-W29",PAYTABLE,COLUMN(),FALSE),VLOOKUP("2001-W31",PAYTABLE,COLUMN(),FALSE))</f>
        <v>11274</v>
      </c>
      <c r="AJ46" s="58">
        <f t="shared" si="46"/>
        <v>44814</v>
      </c>
      <c r="AK46" s="59">
        <f t="shared" si="47"/>
        <v>0.15687825779507877</v>
      </c>
      <c r="AL46" s="58">
        <f t="shared" si="48"/>
        <v>46.796804570000447</v>
      </c>
      <c r="AM46" s="58">
        <f>IF(AJ46=0,0,CYCLE/SUM($AJ$6:AJ46))</f>
        <v>7.4376323302537548</v>
      </c>
      <c r="AN46" s="59">
        <f t="shared" si="49"/>
        <v>2.1368980407714844E-2</v>
      </c>
      <c r="AO46" s="58">
        <f t="shared" si="50"/>
        <v>268884</v>
      </c>
      <c r="AP46" s="60">
        <f t="shared" si="51"/>
        <v>4.6623844391592853E-2</v>
      </c>
      <c r="AR46" s="57">
        <f t="shared" si="21"/>
        <v>57646</v>
      </c>
      <c r="AS46" s="91">
        <f>SUM(VLOOKUP("2001-W20",PAYTABLE,COLUMN(),FALSE),VLOOKUP("2001-W29",PAYTABLE,COLUMN(),FALSE),VLOOKUP("2001-W31",PAYTABLE,COLUMN(),FALSE))</f>
        <v>11364</v>
      </c>
      <c r="AT46" s="58">
        <f t="shared" si="52"/>
        <v>46282</v>
      </c>
      <c r="AU46" s="59">
        <f t="shared" si="53"/>
        <v>0.15192707290411742</v>
      </c>
      <c r="AV46" s="58">
        <f t="shared" si="54"/>
        <v>45.312475692493841</v>
      </c>
      <c r="AW46" s="58">
        <f>IF(AT46=0,0,CYCLE/SUM($AT$6:AT46))</f>
        <v>6.9687409657170774</v>
      </c>
      <c r="AX46" s="59">
        <f t="shared" si="55"/>
        <v>2.2068977355957031E-2</v>
      </c>
      <c r="AY46" s="58">
        <f t="shared" si="56"/>
        <v>370256</v>
      </c>
      <c r="AZ46" s="60">
        <f t="shared" si="57"/>
        <v>4.7288923038253536E-2</v>
      </c>
      <c r="BB46" s="57">
        <f t="shared" si="28"/>
        <v>57646</v>
      </c>
      <c r="BC46" s="91">
        <f>SUM(VLOOKUP("2001-W20",PAYTABLE,COLUMN(),FALSE),VLOOKUP("2001-W29",PAYTABLE,COLUMN(),FALSE),VLOOKUP("2001-W31",PAYTABLE,COLUMN(),FALSE))</f>
        <v>11364</v>
      </c>
      <c r="BD46" s="58">
        <f t="shared" si="58"/>
        <v>46282</v>
      </c>
      <c r="BE46" s="59">
        <f t="shared" si="59"/>
        <v>0.14479822044795404</v>
      </c>
      <c r="BF46" s="58">
        <f t="shared" si="60"/>
        <v>45.312475692493841</v>
      </c>
      <c r="BG46" s="58">
        <f>IF(BD46=0,0,CYCLE/SUM($BD$6:BD46))</f>
        <v>7.0009848072615348</v>
      </c>
      <c r="BH46" s="59">
        <f t="shared" si="61"/>
        <v>2.2068977355957031E-2</v>
      </c>
      <c r="BI46" s="58">
        <f t="shared" si="62"/>
        <v>462820</v>
      </c>
      <c r="BJ46" s="60">
        <f t="shared" si="63"/>
        <v>4.6280102515796853E-2</v>
      </c>
    </row>
    <row r="47" spans="2:62" x14ac:dyDescent="0.2">
      <c r="B47" s="44" t="s">
        <v>213</v>
      </c>
      <c r="C47" s="33" t="s">
        <v>43</v>
      </c>
      <c r="D47" s="33" t="s">
        <v>43</v>
      </c>
      <c r="E47" s="33" t="s">
        <v>45</v>
      </c>
      <c r="F47" s="120"/>
      <c r="H47" s="51">
        <f>VLOOKUP("2001-W41",PAYTABLE,COLUMN()-1,FALSE)</f>
        <v>2</v>
      </c>
      <c r="I47" s="52">
        <f>VLOOKUP("2001-W41",PAYTABLE,COLUMN()-1,FALSE)</f>
        <v>4</v>
      </c>
      <c r="J47" s="52">
        <f>VLOOKUP("2001-W41",PAYTABLE,COLUMN()-1,FALSE)</f>
        <v>6</v>
      </c>
      <c r="K47" s="52">
        <f>VLOOKUP("2001-W41",PAYTABLE,COLUMN()-1,FALSE)</f>
        <v>8</v>
      </c>
      <c r="L47" s="53">
        <f>VLOOKUP("2001-W41",PAYTABLE,COLUMN()-1,FALSE)</f>
        <v>10</v>
      </c>
      <c r="N47" s="57">
        <f t="shared" si="0"/>
        <v>6080</v>
      </c>
      <c r="O47" s="91">
        <f>SUM(VLOOKUP("2001-W19",PAYTABLE,COLUMN(),FALSE),VLOOKUP("2001-W26",PAYTABLE,COLUMN(),FALSE),VLOOKUP("2001-W30",PAYTABLE,COLUMN(),FALSE))</f>
        <v>2416</v>
      </c>
      <c r="P47" s="58">
        <f t="shared" si="1"/>
        <v>3664</v>
      </c>
      <c r="Q47" s="59">
        <f t="shared" si="35"/>
        <v>1.368139233558245E-2</v>
      </c>
      <c r="R47" s="58">
        <f t="shared" si="36"/>
        <v>572.36681222707421</v>
      </c>
      <c r="S47" s="58">
        <f>IF(P47=0,0,CYCLE/SUM($P$6:P47))</f>
        <v>7.8307749179452522</v>
      </c>
      <c r="T47" s="59">
        <f t="shared" si="37"/>
        <v>1.74713134765625E-3</v>
      </c>
      <c r="U47" s="58">
        <f t="shared" si="38"/>
        <v>7328</v>
      </c>
      <c r="V47" s="60">
        <f t="shared" si="39"/>
        <v>3.9731724111756314E-3</v>
      </c>
      <c r="X47" s="57">
        <f t="shared" si="7"/>
        <v>6232</v>
      </c>
      <c r="Y47" s="91">
        <f>SUM(VLOOKUP("2001-W19",PAYTABLE,COLUMN(),FALSE),VLOOKUP("2001-W26",PAYTABLE,COLUMN(),FALSE),VLOOKUP("2001-W30",PAYTABLE,COLUMN(),FALSE))</f>
        <v>2536</v>
      </c>
      <c r="Z47" s="58">
        <f t="shared" si="40"/>
        <v>3696</v>
      </c>
      <c r="AA47" s="59">
        <f t="shared" si="41"/>
        <v>1.3729926112491781E-2</v>
      </c>
      <c r="AB47" s="58">
        <f t="shared" si="42"/>
        <v>567.41125541125541</v>
      </c>
      <c r="AC47" s="58">
        <f>IF(Z47=0,0,CYCLE/SUM($Z$6:Z47))</f>
        <v>7.7905146121927391</v>
      </c>
      <c r="AD47" s="59">
        <f t="shared" si="43"/>
        <v>1.76239013671875E-3</v>
      </c>
      <c r="AE47" s="58">
        <f t="shared" si="44"/>
        <v>14784</v>
      </c>
      <c r="AF47" s="60">
        <f t="shared" si="45"/>
        <v>3.9249251864233265E-3</v>
      </c>
      <c r="AH47" s="57">
        <f t="shared" si="14"/>
        <v>6232</v>
      </c>
      <c r="AI47" s="91">
        <f>SUM(VLOOKUP("2001-W19",PAYTABLE,COLUMN(),FALSE),VLOOKUP("2001-W26",PAYTABLE,COLUMN(),FALSE),VLOOKUP("2001-W30",PAYTABLE,COLUMN(),FALSE))</f>
        <v>2536</v>
      </c>
      <c r="AJ47" s="58">
        <f t="shared" si="46"/>
        <v>3696</v>
      </c>
      <c r="AK47" s="59">
        <f t="shared" si="47"/>
        <v>1.2938413014027116E-2</v>
      </c>
      <c r="AL47" s="58">
        <f t="shared" si="48"/>
        <v>567.41125541125541</v>
      </c>
      <c r="AM47" s="58">
        <f>IF(AJ47=0,0,CYCLE/SUM($AJ$6:AJ47))</f>
        <v>7.3414011713184513</v>
      </c>
      <c r="AN47" s="59">
        <f t="shared" si="49"/>
        <v>1.76239013671875E-3</v>
      </c>
      <c r="AO47" s="58">
        <f t="shared" si="50"/>
        <v>22176</v>
      </c>
      <c r="AP47" s="60">
        <f t="shared" si="51"/>
        <v>3.8452655168324003E-3</v>
      </c>
      <c r="AR47" s="57">
        <f t="shared" si="21"/>
        <v>6232</v>
      </c>
      <c r="AS47" s="91">
        <f>SUM(VLOOKUP("2001-W19",PAYTABLE,COLUMN(),FALSE),VLOOKUP("2001-W26",PAYTABLE,COLUMN(),FALSE),VLOOKUP("2001-W30",PAYTABLE,COLUMN(),FALSE))</f>
        <v>2536</v>
      </c>
      <c r="AT47" s="58">
        <f t="shared" si="52"/>
        <v>3696</v>
      </c>
      <c r="AU47" s="59">
        <f t="shared" si="53"/>
        <v>1.2132631724074543E-2</v>
      </c>
      <c r="AV47" s="58">
        <f t="shared" si="54"/>
        <v>567.41125541125541</v>
      </c>
      <c r="AW47" s="58">
        <f>IF(AT47=0,0,CYCLE/SUM($AT$6:AT47))</f>
        <v>6.8841917979995602</v>
      </c>
      <c r="AX47" s="59">
        <f t="shared" si="55"/>
        <v>1.76239013671875E-3</v>
      </c>
      <c r="AY47" s="58">
        <f t="shared" si="56"/>
        <v>29568</v>
      </c>
      <c r="AZ47" s="60">
        <f t="shared" si="57"/>
        <v>3.7764111220211973E-3</v>
      </c>
      <c r="BB47" s="57">
        <f t="shared" si="28"/>
        <v>6232</v>
      </c>
      <c r="BC47" s="91">
        <f>SUM(VLOOKUP("2001-W19",PAYTABLE,COLUMN(),FALSE),VLOOKUP("2001-W26",PAYTABLE,COLUMN(),FALSE),VLOOKUP("2001-W30",PAYTABLE,COLUMN(),FALSE))</f>
        <v>2536</v>
      </c>
      <c r="BD47" s="58">
        <f t="shared" si="58"/>
        <v>3696</v>
      </c>
      <c r="BE47" s="59">
        <f t="shared" si="59"/>
        <v>1.1563333969483561E-2</v>
      </c>
      <c r="BF47" s="58">
        <f t="shared" si="60"/>
        <v>567.41125541125541</v>
      </c>
      <c r="BG47" s="58">
        <f>IF(BD47=0,0,CYCLE/SUM($BD$6:BD47))</f>
        <v>6.9156562142411957</v>
      </c>
      <c r="BH47" s="59">
        <f t="shared" si="61"/>
        <v>1.76239013671875E-3</v>
      </c>
      <c r="BI47" s="58">
        <f t="shared" si="62"/>
        <v>36960</v>
      </c>
      <c r="BJ47" s="60">
        <f t="shared" si="63"/>
        <v>3.6958484702127215E-3</v>
      </c>
    </row>
    <row r="48" spans="2:62" ht="15" x14ac:dyDescent="0.25">
      <c r="B48" s="44" t="s">
        <v>214</v>
      </c>
      <c r="C48" s="33" t="s">
        <v>44</v>
      </c>
      <c r="D48" s="33" t="s">
        <v>44</v>
      </c>
      <c r="E48" s="33" t="s">
        <v>46</v>
      </c>
      <c r="F48" s="121" t="s">
        <v>129</v>
      </c>
      <c r="H48" s="54"/>
      <c r="I48" s="55"/>
      <c r="J48" s="55"/>
      <c r="K48" s="55"/>
      <c r="L48" s="56">
        <v>10</v>
      </c>
      <c r="N48" s="57">
        <f t="shared" si="0"/>
        <v>16384</v>
      </c>
      <c r="O48" s="91"/>
      <c r="P48" s="58">
        <f t="shared" si="1"/>
        <v>0</v>
      </c>
      <c r="Q48" s="59">
        <f t="shared" si="35"/>
        <v>0</v>
      </c>
      <c r="R48" s="58">
        <f t="shared" si="36"/>
        <v>0</v>
      </c>
      <c r="S48" s="58">
        <f>IF(P48=0,0,CYCLE/SUM($P$6:P48))</f>
        <v>0</v>
      </c>
      <c r="T48" s="59">
        <f t="shared" si="37"/>
        <v>0</v>
      </c>
      <c r="U48" s="58">
        <f t="shared" si="38"/>
        <v>0</v>
      </c>
      <c r="V48" s="60">
        <f t="shared" si="39"/>
        <v>0</v>
      </c>
      <c r="X48" s="57">
        <f t="shared" si="7"/>
        <v>16384</v>
      </c>
      <c r="Y48" s="91"/>
      <c r="Z48" s="58">
        <f t="shared" si="40"/>
        <v>0</v>
      </c>
      <c r="AA48" s="59">
        <f t="shared" si="41"/>
        <v>0</v>
      </c>
      <c r="AB48" s="58">
        <f t="shared" si="42"/>
        <v>0</v>
      </c>
      <c r="AC48" s="58">
        <f>IF(Z48=0,0,CYCLE/SUM($Z$6:Z48))</f>
        <v>0</v>
      </c>
      <c r="AD48" s="59">
        <f t="shared" si="43"/>
        <v>0</v>
      </c>
      <c r="AE48" s="58">
        <f t="shared" si="44"/>
        <v>0</v>
      </c>
      <c r="AF48" s="60">
        <f t="shared" si="45"/>
        <v>0</v>
      </c>
      <c r="AH48" s="57">
        <f t="shared" si="14"/>
        <v>16384</v>
      </c>
      <c r="AI48" s="91"/>
      <c r="AJ48" s="58">
        <f t="shared" si="46"/>
        <v>0</v>
      </c>
      <c r="AK48" s="59">
        <f t="shared" si="47"/>
        <v>0</v>
      </c>
      <c r="AL48" s="58">
        <f t="shared" si="48"/>
        <v>0</v>
      </c>
      <c r="AM48" s="58">
        <f>IF(AJ48=0,0,CYCLE/SUM($AJ$6:AJ48))</f>
        <v>0</v>
      </c>
      <c r="AN48" s="59">
        <f t="shared" si="49"/>
        <v>0</v>
      </c>
      <c r="AO48" s="58">
        <f t="shared" si="50"/>
        <v>0</v>
      </c>
      <c r="AP48" s="60">
        <f t="shared" si="51"/>
        <v>0</v>
      </c>
      <c r="AR48" s="57">
        <f t="shared" si="21"/>
        <v>16384</v>
      </c>
      <c r="AS48" s="91"/>
      <c r="AT48" s="58">
        <f t="shared" si="52"/>
        <v>0</v>
      </c>
      <c r="AU48" s="59">
        <f t="shared" si="53"/>
        <v>0</v>
      </c>
      <c r="AV48" s="58">
        <f t="shared" si="54"/>
        <v>0</v>
      </c>
      <c r="AW48" s="58">
        <f>IF(AT48=0,0,CYCLE/SUM($AT$6:AT48))</f>
        <v>0</v>
      </c>
      <c r="AX48" s="59">
        <f t="shared" si="55"/>
        <v>0</v>
      </c>
      <c r="AY48" s="58">
        <f t="shared" si="56"/>
        <v>0</v>
      </c>
      <c r="AZ48" s="60">
        <f t="shared" si="57"/>
        <v>0</v>
      </c>
      <c r="BB48" s="57">
        <f t="shared" si="28"/>
        <v>16384</v>
      </c>
      <c r="BC48" s="91"/>
      <c r="BD48" s="58">
        <f t="shared" si="58"/>
        <v>16384</v>
      </c>
      <c r="BE48" s="59">
        <f t="shared" si="59"/>
        <v>5.1259108159095956E-2</v>
      </c>
      <c r="BF48" s="58">
        <f t="shared" si="60"/>
        <v>128</v>
      </c>
      <c r="BG48" s="58">
        <f>IF(BD48=0,0,CYCLE/SUM($BD$6:BD48))</f>
        <v>6.5611658443642824</v>
      </c>
      <c r="BH48" s="59">
        <f t="shared" si="61"/>
        <v>7.8125E-3</v>
      </c>
      <c r="BI48" s="58">
        <f t="shared" si="62"/>
        <v>163840</v>
      </c>
      <c r="BJ48" s="60">
        <f t="shared" si="63"/>
        <v>1.6383328283540374E-2</v>
      </c>
    </row>
    <row r="49" spans="2:62" x14ac:dyDescent="0.2">
      <c r="B49" s="13"/>
      <c r="C49" s="14"/>
      <c r="D49" s="14"/>
      <c r="E49" s="14"/>
      <c r="F49" s="15"/>
      <c r="N49" s="17">
        <f>SUM(N6:N48)</f>
        <v>305575</v>
      </c>
      <c r="O49" s="18"/>
      <c r="P49" s="18">
        <f>SUM(P6:P48)</f>
        <v>267809</v>
      </c>
      <c r="Q49" s="87">
        <f>SUM(Q6:Q48)</f>
        <v>1</v>
      </c>
      <c r="R49" s="18">
        <f t="shared" ref="R49" si="64">IF(P49&lt;&gt;0,CYCLE/P49,0)</f>
        <v>7.8307749179452522</v>
      </c>
      <c r="S49" s="88"/>
      <c r="T49" s="88"/>
      <c r="U49" s="18">
        <f>SUM(U6:U48)</f>
        <v>1844370</v>
      </c>
      <c r="V49" s="89">
        <f>SUM(V6:V48)</f>
        <v>1</v>
      </c>
      <c r="X49" s="17">
        <f>SUM(X6:X48)</f>
        <v>308553</v>
      </c>
      <c r="Y49" s="18"/>
      <c r="Z49" s="18">
        <f>SUM(Z6:Z48)</f>
        <v>269193</v>
      </c>
      <c r="AA49" s="87">
        <f>SUM(AA6:AA48)</f>
        <v>1</v>
      </c>
      <c r="AB49" s="18">
        <f t="shared" ref="AB49" si="65">IF(Z49&lt;&gt;0,CYCLE/Z49,0)</f>
        <v>7.7905146121927391</v>
      </c>
      <c r="AC49" s="88"/>
      <c r="AD49" s="88"/>
      <c r="AE49" s="18">
        <f>SUM(AE6:AE48)</f>
        <v>3766696</v>
      </c>
      <c r="AF49" s="89">
        <f>SUM(AF6:AF48)</f>
        <v>1</v>
      </c>
      <c r="AH49" s="17">
        <f>SUM(AH6:AH48)</f>
        <v>325285</v>
      </c>
      <c r="AI49" s="18"/>
      <c r="AJ49" s="18">
        <f>SUM(AJ6:AJ48)</f>
        <v>285661</v>
      </c>
      <c r="AK49" s="87">
        <f>SUM(AK6:AK48)</f>
        <v>1</v>
      </c>
      <c r="AL49" s="18">
        <f t="shared" ref="AL49" si="66">IF(AJ49&lt;&gt;0,CYCLE/AJ49,0)</f>
        <v>7.3414011713184513</v>
      </c>
      <c r="AM49" s="88"/>
      <c r="AN49" s="88"/>
      <c r="AO49" s="18">
        <f>SUM(AO6:AO48)</f>
        <v>5767092</v>
      </c>
      <c r="AP49" s="89">
        <f>SUM(AP6:AP48)</f>
        <v>1</v>
      </c>
      <c r="AR49" s="17">
        <f>SUM(AR6:AR48)</f>
        <v>344875</v>
      </c>
      <c r="AS49" s="18"/>
      <c r="AT49" s="18">
        <f>SUM(AT6:AT48)</f>
        <v>304633</v>
      </c>
      <c r="AU49" s="87">
        <f>SUM(AU6:AU48)</f>
        <v>1</v>
      </c>
      <c r="AV49" s="18">
        <f t="shared" ref="AV49" si="67">IF(AT49&lt;&gt;0,CYCLE/AT49,0)</f>
        <v>6.8841917979995602</v>
      </c>
      <c r="AW49" s="88"/>
      <c r="AX49" s="88"/>
      <c r="AY49" s="18">
        <f>SUM(AY6:AY48)</f>
        <v>7829656</v>
      </c>
      <c r="AZ49" s="89">
        <f>SUM(AZ6:AZ48)</f>
        <v>1.0000000000000002</v>
      </c>
      <c r="BB49" s="17">
        <f>SUM(BB6:BB48)</f>
        <v>343489</v>
      </c>
      <c r="BC49" s="18"/>
      <c r="BD49" s="18">
        <f>SUM(BD6:BD48)</f>
        <v>319631</v>
      </c>
      <c r="BE49" s="87">
        <f>SUM(BE6:BE48)</f>
        <v>1</v>
      </c>
      <c r="BF49" s="18">
        <f t="shared" ref="BF49" si="68">IF(BD49&lt;&gt;0,CYCLE/BD49,0)</f>
        <v>6.5611658443642824</v>
      </c>
      <c r="BG49" s="88"/>
      <c r="BH49" s="88"/>
      <c r="BI49" s="18">
        <f>SUM(BI6:BI48)</f>
        <v>10000410</v>
      </c>
      <c r="BJ49" s="89">
        <f>SUM(BJ6:BJ48)</f>
        <v>1</v>
      </c>
    </row>
  </sheetData>
  <sortState xmlns:xlrd2="http://schemas.microsoft.com/office/spreadsheetml/2017/richdata2" ref="A6:BJ45">
    <sortCondition descending="1" ref="L6:L45"/>
  </sortState>
  <mergeCells count="29">
    <mergeCell ref="B4:F4"/>
    <mergeCell ref="H4:L4"/>
    <mergeCell ref="N3:O3"/>
    <mergeCell ref="Q3:R3"/>
    <mergeCell ref="T3:U3"/>
    <mergeCell ref="N4:V4"/>
    <mergeCell ref="AR4:AZ4"/>
    <mergeCell ref="BB4:BJ4"/>
    <mergeCell ref="AH4:AP4"/>
    <mergeCell ref="H2:L2"/>
    <mergeCell ref="AA3:AB3"/>
    <mergeCell ref="N2:V2"/>
    <mergeCell ref="X4:AF4"/>
    <mergeCell ref="AH2:AP2"/>
    <mergeCell ref="B2:G2"/>
    <mergeCell ref="BB2:BJ2"/>
    <mergeCell ref="BB3:BC3"/>
    <mergeCell ref="BE3:BF3"/>
    <mergeCell ref="BH3:BI3"/>
    <mergeCell ref="X3:Y3"/>
    <mergeCell ref="X2:AF2"/>
    <mergeCell ref="AD3:AE3"/>
    <mergeCell ref="AH3:AI3"/>
    <mergeCell ref="AK3:AL3"/>
    <mergeCell ref="AN3:AO3"/>
    <mergeCell ref="AR2:AZ2"/>
    <mergeCell ref="AR3:AS3"/>
    <mergeCell ref="AU3:AV3"/>
    <mergeCell ref="AX3:AY3"/>
  </mergeCells>
  <dataValidations count="1">
    <dataValidation type="list" allowBlank="1" showInputMessage="1" showErrorMessage="1" sqref="C31:D34 C6:E30 C35:E48" xr:uid="{00000000-0002-0000-0300-000000000000}">
      <formula1>PAY_SYMBOLS</formula1>
    </dataValidation>
  </dataValidations>
  <hyperlinks>
    <hyperlink ref="F37" location="'SECG-5003'!A1" display="SECG-5003" xr:uid="{00000000-0004-0000-0300-000000000000}"/>
    <hyperlink ref="F41" location="'SECG-5004'!A1" display="SECG-5004" xr:uid="{00000000-0004-0000-0300-000001000000}"/>
    <hyperlink ref="F48" location="'SECG-5005'!A1" display="SECG-5005" xr:uid="{00000000-0004-0000-0300-000002000000}"/>
    <hyperlink ref="F28" location="'SECG-5002'!A1" display="SECG-5002" xr:uid="{00000000-0004-0000-0300-000003000000}"/>
    <hyperlink ref="F17" location="'SECG-5001'!A1" display="SECG-5001" xr:uid="{00000000-0004-0000-0300-000004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K42"/>
  <sheetViews>
    <sheetView tabSelected="1" zoomScale="190" zoomScaleNormal="190" workbookViewId="0">
      <selection activeCell="C3" sqref="C3"/>
    </sheetView>
  </sheetViews>
  <sheetFormatPr defaultColWidth="4.7109375" defaultRowHeight="12.75" x14ac:dyDescent="0.2"/>
  <cols>
    <col min="1" max="1" width="4.7109375" style="1"/>
    <col min="2" max="2" width="6.7109375" style="1" bestFit="1" customWidth="1"/>
    <col min="3" max="18" width="4.7109375" style="1"/>
    <col min="19" max="19" width="5.28515625" style="1" bestFit="1" customWidth="1"/>
    <col min="20" max="37" width="4.7109375" style="1" customWidth="1"/>
    <col min="38" max="16384" width="4.7109375" style="1"/>
  </cols>
  <sheetData>
    <row r="2" spans="2:37" x14ac:dyDescent="0.2">
      <c r="B2" s="137" t="s">
        <v>75</v>
      </c>
      <c r="C2" s="138"/>
      <c r="D2" s="138"/>
      <c r="E2" s="139"/>
    </row>
    <row r="3" spans="2:37" x14ac:dyDescent="0.2">
      <c r="B3" s="5"/>
      <c r="C3" s="6" t="s">
        <v>48</v>
      </c>
      <c r="D3" s="6" t="s">
        <v>49</v>
      </c>
      <c r="E3" s="8" t="s">
        <v>50</v>
      </c>
    </row>
    <row r="4" spans="2:37" x14ac:dyDescent="0.2">
      <c r="B4" s="82" t="s">
        <v>51</v>
      </c>
      <c r="C4" s="76">
        <v>32</v>
      </c>
      <c r="D4" s="76">
        <v>32</v>
      </c>
      <c r="E4" s="77">
        <v>32</v>
      </c>
    </row>
    <row r="5" spans="2:37" x14ac:dyDescent="0.2">
      <c r="B5" s="83" t="s">
        <v>76</v>
      </c>
      <c r="C5" s="84">
        <v>128</v>
      </c>
      <c r="D5" s="84">
        <v>128</v>
      </c>
      <c r="E5" s="85">
        <v>128</v>
      </c>
    </row>
    <row r="7" spans="2:37" x14ac:dyDescent="0.2">
      <c r="B7" s="137" t="s">
        <v>92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  <c r="S7" s="137" t="s">
        <v>74</v>
      </c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9"/>
    </row>
    <row r="8" spans="2:37" x14ac:dyDescent="0.2">
      <c r="B8" s="162" t="s">
        <v>90</v>
      </c>
      <c r="C8" s="159" t="s">
        <v>102</v>
      </c>
      <c r="D8" s="160"/>
      <c r="E8" s="161"/>
      <c r="F8" s="159" t="s">
        <v>103</v>
      </c>
      <c r="G8" s="160"/>
      <c r="H8" s="161"/>
      <c r="I8" s="159" t="s">
        <v>104</v>
      </c>
      <c r="J8" s="160"/>
      <c r="K8" s="161"/>
      <c r="L8" s="159" t="s">
        <v>105</v>
      </c>
      <c r="M8" s="160"/>
      <c r="N8" s="161"/>
      <c r="O8" s="159" t="s">
        <v>106</v>
      </c>
      <c r="P8" s="160"/>
      <c r="Q8" s="161"/>
      <c r="S8" s="162" t="s">
        <v>91</v>
      </c>
      <c r="T8" s="163" t="s">
        <v>90</v>
      </c>
      <c r="U8" s="164"/>
      <c r="V8" s="165"/>
      <c r="W8" s="159" t="s">
        <v>102</v>
      </c>
      <c r="X8" s="160"/>
      <c r="Y8" s="161"/>
      <c r="Z8" s="159" t="s">
        <v>103</v>
      </c>
      <c r="AA8" s="160"/>
      <c r="AB8" s="161"/>
      <c r="AC8" s="159" t="s">
        <v>104</v>
      </c>
      <c r="AD8" s="160"/>
      <c r="AE8" s="161"/>
      <c r="AF8" s="159" t="s">
        <v>105</v>
      </c>
      <c r="AG8" s="160"/>
      <c r="AH8" s="161"/>
      <c r="AI8" s="159" t="s">
        <v>106</v>
      </c>
      <c r="AJ8" s="160"/>
      <c r="AK8" s="161"/>
    </row>
    <row r="9" spans="2:37" x14ac:dyDescent="0.2">
      <c r="B9" s="162"/>
      <c r="C9" s="5" t="s">
        <v>48</v>
      </c>
      <c r="D9" s="6" t="s">
        <v>49</v>
      </c>
      <c r="E9" s="8" t="s">
        <v>50</v>
      </c>
      <c r="F9" s="5" t="s">
        <v>48</v>
      </c>
      <c r="G9" s="6" t="s">
        <v>49</v>
      </c>
      <c r="H9" s="8" t="s">
        <v>50</v>
      </c>
      <c r="I9" s="5" t="s">
        <v>48</v>
      </c>
      <c r="J9" s="6" t="s">
        <v>49</v>
      </c>
      <c r="K9" s="8" t="s">
        <v>50</v>
      </c>
      <c r="L9" s="5" t="s">
        <v>48</v>
      </c>
      <c r="M9" s="6" t="s">
        <v>49</v>
      </c>
      <c r="N9" s="8" t="s">
        <v>50</v>
      </c>
      <c r="O9" s="6" t="s">
        <v>48</v>
      </c>
      <c r="P9" s="6" t="s">
        <v>49</v>
      </c>
      <c r="Q9" s="8" t="s">
        <v>50</v>
      </c>
      <c r="S9" s="162"/>
      <c r="T9" s="79" t="s">
        <v>48</v>
      </c>
      <c r="U9" s="80" t="s">
        <v>49</v>
      </c>
      <c r="V9" s="81" t="s">
        <v>50</v>
      </c>
      <c r="W9" s="12" t="s">
        <v>48</v>
      </c>
      <c r="X9" s="12" t="s">
        <v>49</v>
      </c>
      <c r="Y9" s="22" t="s">
        <v>50</v>
      </c>
      <c r="Z9" s="11" t="s">
        <v>48</v>
      </c>
      <c r="AA9" s="12" t="s">
        <v>49</v>
      </c>
      <c r="AB9" s="22" t="s">
        <v>50</v>
      </c>
      <c r="AC9" s="11" t="s">
        <v>48</v>
      </c>
      <c r="AD9" s="12" t="s">
        <v>49</v>
      </c>
      <c r="AE9" s="22" t="s">
        <v>50</v>
      </c>
      <c r="AF9" s="11" t="s">
        <v>48</v>
      </c>
      <c r="AG9" s="12" t="s">
        <v>49</v>
      </c>
      <c r="AH9" s="22" t="s">
        <v>50</v>
      </c>
      <c r="AI9" s="12" t="s">
        <v>48</v>
      </c>
      <c r="AJ9" s="12" t="s">
        <v>49</v>
      </c>
      <c r="AK9" s="22" t="s">
        <v>50</v>
      </c>
    </row>
    <row r="10" spans="2:37" x14ac:dyDescent="0.2">
      <c r="B10" s="75" t="s">
        <v>6</v>
      </c>
      <c r="C10" s="78">
        <v>4</v>
      </c>
      <c r="D10" s="76">
        <v>2</v>
      </c>
      <c r="E10" s="77">
        <v>2</v>
      </c>
      <c r="F10" s="78">
        <v>4</v>
      </c>
      <c r="G10" s="76">
        <v>2</v>
      </c>
      <c r="H10" s="77">
        <v>2</v>
      </c>
      <c r="I10" s="78">
        <v>4</v>
      </c>
      <c r="J10" s="76">
        <v>2</v>
      </c>
      <c r="K10" s="77">
        <v>2</v>
      </c>
      <c r="L10" s="78">
        <v>4</v>
      </c>
      <c r="M10" s="76">
        <v>2</v>
      </c>
      <c r="N10" s="77">
        <v>2</v>
      </c>
      <c r="O10" s="78">
        <v>4</v>
      </c>
      <c r="P10" s="76">
        <v>2</v>
      </c>
      <c r="Q10" s="77">
        <v>2</v>
      </c>
      <c r="S10" s="75">
        <v>0</v>
      </c>
      <c r="T10" s="44" t="s">
        <v>36</v>
      </c>
      <c r="U10" s="33" t="s">
        <v>47</v>
      </c>
      <c r="V10" s="46" t="s">
        <v>6</v>
      </c>
      <c r="W10" s="76">
        <v>1</v>
      </c>
      <c r="X10" s="76">
        <v>2</v>
      </c>
      <c r="Y10" s="77">
        <v>2</v>
      </c>
      <c r="Z10" s="76">
        <v>1</v>
      </c>
      <c r="AA10" s="76">
        <v>2</v>
      </c>
      <c r="AB10" s="77">
        <v>2</v>
      </c>
      <c r="AC10" s="76">
        <v>1</v>
      </c>
      <c r="AD10" s="76">
        <v>2</v>
      </c>
      <c r="AE10" s="77">
        <v>2</v>
      </c>
      <c r="AF10" s="76">
        <v>1</v>
      </c>
      <c r="AG10" s="76">
        <v>2</v>
      </c>
      <c r="AH10" s="77">
        <v>2</v>
      </c>
      <c r="AI10" s="76">
        <v>1</v>
      </c>
      <c r="AJ10" s="76">
        <v>2</v>
      </c>
      <c r="AK10" s="77">
        <v>2</v>
      </c>
    </row>
    <row r="11" spans="2:37" x14ac:dyDescent="0.2">
      <c r="B11" s="75" t="s">
        <v>47</v>
      </c>
      <c r="C11" s="78">
        <v>4</v>
      </c>
      <c r="D11" s="76">
        <v>4</v>
      </c>
      <c r="E11" s="77">
        <v>5</v>
      </c>
      <c r="F11" s="78">
        <v>4</v>
      </c>
      <c r="G11" s="76">
        <v>4</v>
      </c>
      <c r="H11" s="77">
        <v>5</v>
      </c>
      <c r="I11" s="78">
        <v>4</v>
      </c>
      <c r="J11" s="76">
        <v>4</v>
      </c>
      <c r="K11" s="77">
        <v>5</v>
      </c>
      <c r="L11" s="78">
        <v>3</v>
      </c>
      <c r="M11" s="76">
        <v>4</v>
      </c>
      <c r="N11" s="77">
        <v>4</v>
      </c>
      <c r="O11" s="78">
        <v>3</v>
      </c>
      <c r="P11" s="76">
        <v>4</v>
      </c>
      <c r="Q11" s="77">
        <v>4</v>
      </c>
      <c r="S11" s="75">
        <v>1</v>
      </c>
      <c r="T11" s="44" t="s">
        <v>39</v>
      </c>
      <c r="U11" s="33" t="s">
        <v>37</v>
      </c>
      <c r="V11" s="46" t="s">
        <v>27</v>
      </c>
      <c r="W11" s="76">
        <v>6</v>
      </c>
      <c r="X11" s="76">
        <v>2</v>
      </c>
      <c r="Y11" s="77">
        <v>6</v>
      </c>
      <c r="Z11" s="76">
        <v>6</v>
      </c>
      <c r="AA11" s="76">
        <v>2</v>
      </c>
      <c r="AB11" s="77">
        <v>6</v>
      </c>
      <c r="AC11" s="76">
        <v>5</v>
      </c>
      <c r="AD11" s="76">
        <v>2</v>
      </c>
      <c r="AE11" s="77">
        <v>6</v>
      </c>
      <c r="AF11" s="76">
        <v>5</v>
      </c>
      <c r="AG11" s="76">
        <v>2</v>
      </c>
      <c r="AH11" s="77">
        <v>6</v>
      </c>
      <c r="AI11" s="76">
        <v>5</v>
      </c>
      <c r="AJ11" s="76">
        <v>2</v>
      </c>
      <c r="AK11" s="77">
        <v>6</v>
      </c>
    </row>
    <row r="12" spans="2:37" x14ac:dyDescent="0.2">
      <c r="B12" s="75" t="s">
        <v>26</v>
      </c>
      <c r="C12" s="78">
        <v>6</v>
      </c>
      <c r="D12" s="76">
        <v>5</v>
      </c>
      <c r="E12" s="77">
        <v>5</v>
      </c>
      <c r="F12" s="78">
        <v>6</v>
      </c>
      <c r="G12" s="76">
        <v>5</v>
      </c>
      <c r="H12" s="77">
        <v>5</v>
      </c>
      <c r="I12" s="78">
        <v>6</v>
      </c>
      <c r="J12" s="76">
        <v>5</v>
      </c>
      <c r="K12" s="77">
        <v>5</v>
      </c>
      <c r="L12" s="78">
        <v>6</v>
      </c>
      <c r="M12" s="76">
        <v>5</v>
      </c>
      <c r="N12" s="77">
        <v>5</v>
      </c>
      <c r="O12" s="78">
        <v>6</v>
      </c>
      <c r="P12" s="76">
        <v>5</v>
      </c>
      <c r="Q12" s="77">
        <v>5</v>
      </c>
      <c r="S12" s="75">
        <v>2</v>
      </c>
      <c r="T12" s="44" t="s">
        <v>32</v>
      </c>
      <c r="U12" s="33" t="s">
        <v>31</v>
      </c>
      <c r="V12" s="46" t="s">
        <v>31</v>
      </c>
      <c r="W12" s="76">
        <v>3</v>
      </c>
      <c r="X12" s="76">
        <v>7</v>
      </c>
      <c r="Y12" s="77">
        <v>6</v>
      </c>
      <c r="Z12" s="76">
        <v>3</v>
      </c>
      <c r="AA12" s="76">
        <v>8</v>
      </c>
      <c r="AB12" s="77">
        <v>6</v>
      </c>
      <c r="AC12" s="76">
        <v>3</v>
      </c>
      <c r="AD12" s="76">
        <v>8</v>
      </c>
      <c r="AE12" s="77">
        <v>6</v>
      </c>
      <c r="AF12" s="76">
        <v>3</v>
      </c>
      <c r="AG12" s="76">
        <v>8</v>
      </c>
      <c r="AH12" s="77">
        <v>6</v>
      </c>
      <c r="AI12" s="76">
        <v>3</v>
      </c>
      <c r="AJ12" s="76">
        <v>8</v>
      </c>
      <c r="AK12" s="77">
        <v>6</v>
      </c>
    </row>
    <row r="13" spans="2:37" x14ac:dyDescent="0.2">
      <c r="B13" s="75" t="s">
        <v>27</v>
      </c>
      <c r="C13" s="78">
        <v>6</v>
      </c>
      <c r="D13" s="76">
        <v>6</v>
      </c>
      <c r="E13" s="77">
        <v>6</v>
      </c>
      <c r="F13" s="78">
        <v>6</v>
      </c>
      <c r="G13" s="76">
        <v>6</v>
      </c>
      <c r="H13" s="77">
        <v>6</v>
      </c>
      <c r="I13" s="78">
        <v>6</v>
      </c>
      <c r="J13" s="76">
        <v>6</v>
      </c>
      <c r="K13" s="77">
        <v>6</v>
      </c>
      <c r="L13" s="78">
        <v>6</v>
      </c>
      <c r="M13" s="76">
        <v>6</v>
      </c>
      <c r="N13" s="77">
        <v>6</v>
      </c>
      <c r="O13" s="78">
        <v>6</v>
      </c>
      <c r="P13" s="76">
        <v>6</v>
      </c>
      <c r="Q13" s="77">
        <v>6</v>
      </c>
      <c r="S13" s="75">
        <v>3</v>
      </c>
      <c r="T13" s="44" t="s">
        <v>28</v>
      </c>
      <c r="U13" s="33" t="s">
        <v>27</v>
      </c>
      <c r="V13" s="46" t="s">
        <v>34</v>
      </c>
      <c r="W13" s="76">
        <v>4</v>
      </c>
      <c r="X13" s="76">
        <v>3</v>
      </c>
      <c r="Y13" s="77">
        <v>2</v>
      </c>
      <c r="Z13" s="76">
        <v>4</v>
      </c>
      <c r="AA13" s="76">
        <v>3</v>
      </c>
      <c r="AB13" s="77">
        <v>2</v>
      </c>
      <c r="AC13" s="76">
        <v>4</v>
      </c>
      <c r="AD13" s="76">
        <v>3</v>
      </c>
      <c r="AE13" s="77">
        <v>2</v>
      </c>
      <c r="AF13" s="76">
        <v>4</v>
      </c>
      <c r="AG13" s="76">
        <v>3</v>
      </c>
      <c r="AH13" s="77">
        <v>2</v>
      </c>
      <c r="AI13" s="76">
        <v>4</v>
      </c>
      <c r="AJ13" s="76">
        <v>3</v>
      </c>
      <c r="AK13" s="77">
        <v>2</v>
      </c>
    </row>
    <row r="14" spans="2:37" x14ac:dyDescent="0.2">
      <c r="B14" s="75" t="s">
        <v>28</v>
      </c>
      <c r="C14" s="78">
        <v>12</v>
      </c>
      <c r="D14" s="76">
        <v>10</v>
      </c>
      <c r="E14" s="77">
        <v>9</v>
      </c>
      <c r="F14" s="78">
        <v>12</v>
      </c>
      <c r="G14" s="76">
        <v>10</v>
      </c>
      <c r="H14" s="77">
        <v>9</v>
      </c>
      <c r="I14" s="78">
        <v>12</v>
      </c>
      <c r="J14" s="76">
        <v>10</v>
      </c>
      <c r="K14" s="77">
        <v>9</v>
      </c>
      <c r="L14" s="78">
        <v>12</v>
      </c>
      <c r="M14" s="76">
        <v>10</v>
      </c>
      <c r="N14" s="77">
        <v>9</v>
      </c>
      <c r="O14" s="78">
        <v>12</v>
      </c>
      <c r="P14" s="76">
        <v>10</v>
      </c>
      <c r="Q14" s="77">
        <v>9</v>
      </c>
      <c r="S14" s="75">
        <v>4</v>
      </c>
      <c r="T14" s="44" t="s">
        <v>37</v>
      </c>
      <c r="U14" s="33" t="s">
        <v>33</v>
      </c>
      <c r="V14" s="46" t="s">
        <v>41</v>
      </c>
      <c r="W14" s="76">
        <v>1</v>
      </c>
      <c r="X14" s="76">
        <v>5</v>
      </c>
      <c r="Y14" s="77">
        <v>2</v>
      </c>
      <c r="Z14" s="76">
        <v>2</v>
      </c>
      <c r="AA14" s="76">
        <v>4</v>
      </c>
      <c r="AB14" s="77">
        <v>2</v>
      </c>
      <c r="AC14" s="76">
        <v>2</v>
      </c>
      <c r="AD14" s="76">
        <v>4</v>
      </c>
      <c r="AE14" s="77">
        <v>2</v>
      </c>
      <c r="AF14" s="76">
        <v>2</v>
      </c>
      <c r="AG14" s="76">
        <v>4</v>
      </c>
      <c r="AH14" s="77">
        <v>2</v>
      </c>
      <c r="AI14" s="76">
        <v>2</v>
      </c>
      <c r="AJ14" s="76">
        <v>4</v>
      </c>
      <c r="AK14" s="77">
        <v>2</v>
      </c>
    </row>
    <row r="15" spans="2:37" x14ac:dyDescent="0.2">
      <c r="B15" s="75" t="s">
        <v>29</v>
      </c>
      <c r="C15" s="78">
        <v>8</v>
      </c>
      <c r="D15" s="76">
        <v>8</v>
      </c>
      <c r="E15" s="77">
        <v>6</v>
      </c>
      <c r="F15" s="78">
        <v>8</v>
      </c>
      <c r="G15" s="76">
        <v>8</v>
      </c>
      <c r="H15" s="77">
        <v>6</v>
      </c>
      <c r="I15" s="78">
        <v>8</v>
      </c>
      <c r="J15" s="76">
        <v>8</v>
      </c>
      <c r="K15" s="77">
        <v>6</v>
      </c>
      <c r="L15" s="78">
        <v>8</v>
      </c>
      <c r="M15" s="76">
        <v>8</v>
      </c>
      <c r="N15" s="77">
        <v>6</v>
      </c>
      <c r="O15" s="78">
        <v>8</v>
      </c>
      <c r="P15" s="76">
        <v>8</v>
      </c>
      <c r="Q15" s="77">
        <v>6</v>
      </c>
      <c r="S15" s="75">
        <v>5</v>
      </c>
      <c r="T15" s="44" t="s">
        <v>26</v>
      </c>
      <c r="U15" s="33" t="s">
        <v>38</v>
      </c>
      <c r="V15" s="46" t="s">
        <v>29</v>
      </c>
      <c r="W15" s="76">
        <v>3</v>
      </c>
      <c r="X15" s="76">
        <v>2</v>
      </c>
      <c r="Y15" s="77">
        <v>3</v>
      </c>
      <c r="Z15" s="76">
        <v>3</v>
      </c>
      <c r="AA15" s="76">
        <v>3</v>
      </c>
      <c r="AB15" s="77">
        <v>3</v>
      </c>
      <c r="AC15" s="76">
        <v>3</v>
      </c>
      <c r="AD15" s="76">
        <v>2</v>
      </c>
      <c r="AE15" s="77">
        <v>3</v>
      </c>
      <c r="AF15" s="76">
        <v>3</v>
      </c>
      <c r="AG15" s="76">
        <v>2</v>
      </c>
      <c r="AH15" s="77">
        <v>3</v>
      </c>
      <c r="AI15" s="76">
        <v>3</v>
      </c>
      <c r="AJ15" s="76">
        <v>2</v>
      </c>
      <c r="AK15" s="77">
        <v>3</v>
      </c>
    </row>
    <row r="16" spans="2:37" x14ac:dyDescent="0.2">
      <c r="B16" s="75" t="s">
        <v>30</v>
      </c>
      <c r="C16" s="78">
        <v>10</v>
      </c>
      <c r="D16" s="76">
        <v>10</v>
      </c>
      <c r="E16" s="77">
        <v>10</v>
      </c>
      <c r="F16" s="78">
        <v>10</v>
      </c>
      <c r="G16" s="76">
        <v>9</v>
      </c>
      <c r="H16" s="77">
        <v>9</v>
      </c>
      <c r="I16" s="78">
        <v>10</v>
      </c>
      <c r="J16" s="76">
        <v>9</v>
      </c>
      <c r="K16" s="77">
        <v>9</v>
      </c>
      <c r="L16" s="78">
        <v>10</v>
      </c>
      <c r="M16" s="76">
        <v>9</v>
      </c>
      <c r="N16" s="77">
        <v>10</v>
      </c>
      <c r="O16" s="78">
        <v>10</v>
      </c>
      <c r="P16" s="76">
        <v>9</v>
      </c>
      <c r="Q16" s="77">
        <v>10</v>
      </c>
      <c r="S16" s="75">
        <v>6</v>
      </c>
      <c r="T16" s="44" t="s">
        <v>29</v>
      </c>
      <c r="U16" s="33" t="s">
        <v>26</v>
      </c>
      <c r="V16" s="46" t="s">
        <v>33</v>
      </c>
      <c r="W16" s="76">
        <v>4</v>
      </c>
      <c r="X16" s="76">
        <v>3</v>
      </c>
      <c r="Y16" s="77">
        <v>3</v>
      </c>
      <c r="Z16" s="76">
        <v>4</v>
      </c>
      <c r="AA16" s="76">
        <v>3</v>
      </c>
      <c r="AB16" s="77">
        <v>3</v>
      </c>
      <c r="AC16" s="76">
        <v>4</v>
      </c>
      <c r="AD16" s="76">
        <v>3</v>
      </c>
      <c r="AE16" s="77">
        <v>3</v>
      </c>
      <c r="AF16" s="76">
        <v>4</v>
      </c>
      <c r="AG16" s="76">
        <v>3</v>
      </c>
      <c r="AH16" s="77">
        <v>3</v>
      </c>
      <c r="AI16" s="76">
        <v>4</v>
      </c>
      <c r="AJ16" s="76">
        <v>3</v>
      </c>
      <c r="AK16" s="77">
        <v>3</v>
      </c>
    </row>
    <row r="17" spans="2:37" x14ac:dyDescent="0.2">
      <c r="B17" s="75" t="s">
        <v>31</v>
      </c>
      <c r="C17" s="78">
        <v>20</v>
      </c>
      <c r="D17" s="76">
        <v>22</v>
      </c>
      <c r="E17" s="77">
        <v>20</v>
      </c>
      <c r="F17" s="78">
        <v>20</v>
      </c>
      <c r="G17" s="76">
        <v>24</v>
      </c>
      <c r="H17" s="77">
        <v>21</v>
      </c>
      <c r="I17" s="78">
        <v>20</v>
      </c>
      <c r="J17" s="76">
        <v>24</v>
      </c>
      <c r="K17" s="77">
        <v>21</v>
      </c>
      <c r="L17" s="78">
        <v>20</v>
      </c>
      <c r="M17" s="76">
        <v>24</v>
      </c>
      <c r="N17" s="77">
        <v>21</v>
      </c>
      <c r="O17" s="78">
        <v>20</v>
      </c>
      <c r="P17" s="76">
        <v>24</v>
      </c>
      <c r="Q17" s="77">
        <v>21</v>
      </c>
      <c r="S17" s="75">
        <v>7</v>
      </c>
      <c r="T17" s="44" t="s">
        <v>33</v>
      </c>
      <c r="U17" s="33" t="s">
        <v>32</v>
      </c>
      <c r="V17" s="46" t="s">
        <v>28</v>
      </c>
      <c r="W17" s="76">
        <v>4</v>
      </c>
      <c r="X17" s="76">
        <v>3</v>
      </c>
      <c r="Y17" s="77">
        <v>5</v>
      </c>
      <c r="Z17" s="76">
        <v>4</v>
      </c>
      <c r="AA17" s="76">
        <v>3</v>
      </c>
      <c r="AB17" s="77">
        <v>5</v>
      </c>
      <c r="AC17" s="76">
        <v>4</v>
      </c>
      <c r="AD17" s="76">
        <v>3</v>
      </c>
      <c r="AE17" s="77">
        <v>5</v>
      </c>
      <c r="AF17" s="76">
        <v>4</v>
      </c>
      <c r="AG17" s="76">
        <v>3</v>
      </c>
      <c r="AH17" s="77">
        <v>5</v>
      </c>
      <c r="AI17" s="76">
        <v>4</v>
      </c>
      <c r="AJ17" s="76">
        <v>3</v>
      </c>
      <c r="AK17" s="77">
        <v>5</v>
      </c>
    </row>
    <row r="18" spans="2:37" x14ac:dyDescent="0.2">
      <c r="B18" s="75" t="s">
        <v>137</v>
      </c>
      <c r="C18" s="78">
        <v>5</v>
      </c>
      <c r="D18" s="76">
        <v>5</v>
      </c>
      <c r="E18" s="77">
        <v>5</v>
      </c>
      <c r="F18" s="78">
        <v>5</v>
      </c>
      <c r="G18" s="76">
        <v>5</v>
      </c>
      <c r="H18" s="77">
        <v>5</v>
      </c>
      <c r="I18" s="78">
        <v>5</v>
      </c>
      <c r="J18" s="76">
        <v>5</v>
      </c>
      <c r="K18" s="77">
        <v>5</v>
      </c>
      <c r="L18" s="78">
        <v>5</v>
      </c>
      <c r="M18" s="76">
        <v>5</v>
      </c>
      <c r="N18" s="77">
        <v>5</v>
      </c>
      <c r="O18" s="78">
        <v>5</v>
      </c>
      <c r="P18" s="76">
        <v>5</v>
      </c>
      <c r="Q18" s="77">
        <v>5</v>
      </c>
      <c r="S18" s="75">
        <v>8</v>
      </c>
      <c r="T18" s="44" t="s">
        <v>38</v>
      </c>
      <c r="U18" s="33" t="s">
        <v>137</v>
      </c>
      <c r="V18" s="46" t="s">
        <v>40</v>
      </c>
      <c r="W18" s="76">
        <v>1</v>
      </c>
      <c r="X18" s="76">
        <v>2</v>
      </c>
      <c r="Y18" s="77">
        <v>5</v>
      </c>
      <c r="Z18" s="76">
        <v>1</v>
      </c>
      <c r="AA18" s="76">
        <v>2</v>
      </c>
      <c r="AB18" s="77">
        <v>5</v>
      </c>
      <c r="AC18" s="76">
        <v>1</v>
      </c>
      <c r="AD18" s="76">
        <v>2</v>
      </c>
      <c r="AE18" s="77">
        <v>5</v>
      </c>
      <c r="AF18" s="76">
        <v>2</v>
      </c>
      <c r="AG18" s="76">
        <v>2</v>
      </c>
      <c r="AH18" s="77">
        <v>6</v>
      </c>
      <c r="AI18" s="76">
        <v>2</v>
      </c>
      <c r="AJ18" s="76">
        <v>2</v>
      </c>
      <c r="AK18" s="77">
        <v>5</v>
      </c>
    </row>
    <row r="19" spans="2:37" x14ac:dyDescent="0.2">
      <c r="B19" s="75" t="s">
        <v>32</v>
      </c>
      <c r="C19" s="78">
        <v>6</v>
      </c>
      <c r="D19" s="76">
        <v>6</v>
      </c>
      <c r="E19" s="77">
        <v>5</v>
      </c>
      <c r="F19" s="78">
        <v>6</v>
      </c>
      <c r="G19" s="76">
        <v>6</v>
      </c>
      <c r="H19" s="77">
        <v>5</v>
      </c>
      <c r="I19" s="78">
        <v>6</v>
      </c>
      <c r="J19" s="76">
        <v>6</v>
      </c>
      <c r="K19" s="77">
        <v>5</v>
      </c>
      <c r="L19" s="78">
        <v>6</v>
      </c>
      <c r="M19" s="76">
        <v>6</v>
      </c>
      <c r="N19" s="77">
        <v>5</v>
      </c>
      <c r="O19" s="78">
        <v>6</v>
      </c>
      <c r="P19" s="76">
        <v>6</v>
      </c>
      <c r="Q19" s="77">
        <v>5</v>
      </c>
      <c r="S19" s="75">
        <v>9</v>
      </c>
      <c r="T19" s="44" t="s">
        <v>137</v>
      </c>
      <c r="U19" s="33" t="s">
        <v>39</v>
      </c>
      <c r="V19" s="46" t="s">
        <v>30</v>
      </c>
      <c r="W19" s="76">
        <v>3</v>
      </c>
      <c r="X19" s="76">
        <v>7</v>
      </c>
      <c r="Y19" s="77">
        <v>5</v>
      </c>
      <c r="Z19" s="76">
        <v>3</v>
      </c>
      <c r="AA19" s="76">
        <v>7</v>
      </c>
      <c r="AB19" s="77">
        <v>4</v>
      </c>
      <c r="AC19" s="76">
        <v>3</v>
      </c>
      <c r="AD19" s="76">
        <v>7</v>
      </c>
      <c r="AE19" s="77">
        <v>4</v>
      </c>
      <c r="AF19" s="76">
        <v>3</v>
      </c>
      <c r="AG19" s="76">
        <v>7</v>
      </c>
      <c r="AH19" s="77">
        <v>5</v>
      </c>
      <c r="AI19" s="76">
        <v>3</v>
      </c>
      <c r="AJ19" s="76">
        <v>8</v>
      </c>
      <c r="AK19" s="77">
        <v>5</v>
      </c>
    </row>
    <row r="20" spans="2:37" x14ac:dyDescent="0.2">
      <c r="B20" s="75" t="s">
        <v>33</v>
      </c>
      <c r="C20" s="78">
        <v>8</v>
      </c>
      <c r="D20" s="76">
        <v>10</v>
      </c>
      <c r="E20" s="77">
        <v>6</v>
      </c>
      <c r="F20" s="78">
        <v>8</v>
      </c>
      <c r="G20" s="76">
        <v>9</v>
      </c>
      <c r="H20" s="77">
        <v>6</v>
      </c>
      <c r="I20" s="78">
        <v>8</v>
      </c>
      <c r="J20" s="76">
        <v>9</v>
      </c>
      <c r="K20" s="77">
        <v>6</v>
      </c>
      <c r="L20" s="78">
        <v>8</v>
      </c>
      <c r="M20" s="76">
        <v>9</v>
      </c>
      <c r="N20" s="77">
        <v>6</v>
      </c>
      <c r="O20" s="78">
        <v>8</v>
      </c>
      <c r="P20" s="76">
        <v>9</v>
      </c>
      <c r="Q20" s="77">
        <v>6</v>
      </c>
      <c r="S20" s="75">
        <v>10</v>
      </c>
      <c r="T20" s="44" t="s">
        <v>40</v>
      </c>
      <c r="U20" s="33" t="s">
        <v>28</v>
      </c>
      <c r="V20" s="46" t="s">
        <v>47</v>
      </c>
      <c r="W20" s="76">
        <v>10</v>
      </c>
      <c r="X20" s="76">
        <v>5</v>
      </c>
      <c r="Y20" s="77">
        <v>5</v>
      </c>
      <c r="Z20" s="76">
        <v>10</v>
      </c>
      <c r="AA20" s="76">
        <v>5</v>
      </c>
      <c r="AB20" s="77">
        <v>5</v>
      </c>
      <c r="AC20" s="76">
        <v>10</v>
      </c>
      <c r="AD20" s="76">
        <v>5</v>
      </c>
      <c r="AE20" s="77">
        <v>5</v>
      </c>
      <c r="AF20" s="76">
        <v>10</v>
      </c>
      <c r="AG20" s="76">
        <v>5</v>
      </c>
      <c r="AH20" s="77">
        <v>4</v>
      </c>
      <c r="AI20" s="76">
        <v>10</v>
      </c>
      <c r="AJ20" s="76">
        <v>5</v>
      </c>
      <c r="AK20" s="77">
        <v>4</v>
      </c>
    </row>
    <row r="21" spans="2:37" x14ac:dyDescent="0.2">
      <c r="B21" s="75" t="s">
        <v>45</v>
      </c>
      <c r="C21" s="78">
        <v>0</v>
      </c>
      <c r="D21" s="76">
        <v>0</v>
      </c>
      <c r="E21" s="77">
        <v>4</v>
      </c>
      <c r="F21" s="78">
        <v>0</v>
      </c>
      <c r="G21" s="76">
        <v>0</v>
      </c>
      <c r="H21" s="77">
        <v>4</v>
      </c>
      <c r="I21" s="78">
        <v>0</v>
      </c>
      <c r="J21" s="76">
        <v>0</v>
      </c>
      <c r="K21" s="77">
        <v>4</v>
      </c>
      <c r="L21" s="78">
        <v>0</v>
      </c>
      <c r="M21" s="76">
        <v>0</v>
      </c>
      <c r="N21" s="77">
        <v>4</v>
      </c>
      <c r="O21" s="78">
        <v>0</v>
      </c>
      <c r="P21" s="76">
        <v>0</v>
      </c>
      <c r="Q21" s="77">
        <v>4</v>
      </c>
      <c r="S21" s="75">
        <v>11</v>
      </c>
      <c r="T21" s="44" t="s">
        <v>31</v>
      </c>
      <c r="U21" s="33" t="s">
        <v>31</v>
      </c>
      <c r="V21" s="46" t="s">
        <v>39</v>
      </c>
      <c r="W21" s="76">
        <v>10</v>
      </c>
      <c r="X21" s="76">
        <v>7</v>
      </c>
      <c r="Y21" s="77">
        <v>6</v>
      </c>
      <c r="Z21" s="76">
        <v>10</v>
      </c>
      <c r="AA21" s="76">
        <v>8</v>
      </c>
      <c r="AB21" s="77">
        <v>6</v>
      </c>
      <c r="AC21" s="76">
        <v>10</v>
      </c>
      <c r="AD21" s="76">
        <v>8</v>
      </c>
      <c r="AE21" s="77">
        <v>6</v>
      </c>
      <c r="AF21" s="76">
        <v>10</v>
      </c>
      <c r="AG21" s="76">
        <v>8</v>
      </c>
      <c r="AH21" s="77">
        <v>3</v>
      </c>
      <c r="AI21" s="76">
        <v>10</v>
      </c>
      <c r="AJ21" s="76">
        <v>8</v>
      </c>
      <c r="AK21" s="77">
        <v>6</v>
      </c>
    </row>
    <row r="22" spans="2:37" x14ac:dyDescent="0.2">
      <c r="B22" s="75" t="s">
        <v>34</v>
      </c>
      <c r="C22" s="78">
        <v>0</v>
      </c>
      <c r="D22" s="76">
        <v>0</v>
      </c>
      <c r="E22" s="77">
        <v>4</v>
      </c>
      <c r="F22" s="78">
        <v>0</v>
      </c>
      <c r="G22" s="76">
        <v>0</v>
      </c>
      <c r="H22" s="77">
        <v>4</v>
      </c>
      <c r="I22" s="78">
        <v>0</v>
      </c>
      <c r="J22" s="76">
        <v>0</v>
      </c>
      <c r="K22" s="77">
        <v>4</v>
      </c>
      <c r="L22" s="78">
        <v>0</v>
      </c>
      <c r="M22" s="76">
        <v>0</v>
      </c>
      <c r="N22" s="77">
        <v>4</v>
      </c>
      <c r="O22" s="78">
        <v>0</v>
      </c>
      <c r="P22" s="76">
        <v>0</v>
      </c>
      <c r="Q22" s="77">
        <v>4</v>
      </c>
      <c r="S22" s="75">
        <v>12</v>
      </c>
      <c r="T22" s="44" t="s">
        <v>28</v>
      </c>
      <c r="U22" s="33" t="s">
        <v>40</v>
      </c>
      <c r="V22" s="46" t="s">
        <v>45</v>
      </c>
      <c r="W22" s="76">
        <v>4</v>
      </c>
      <c r="X22" s="76">
        <v>8</v>
      </c>
      <c r="Y22" s="77">
        <v>2</v>
      </c>
      <c r="Z22" s="76">
        <v>4</v>
      </c>
      <c r="AA22" s="76">
        <v>7</v>
      </c>
      <c r="AB22" s="77">
        <v>2</v>
      </c>
      <c r="AC22" s="76">
        <v>4</v>
      </c>
      <c r="AD22" s="76">
        <v>8</v>
      </c>
      <c r="AE22" s="77">
        <v>2</v>
      </c>
      <c r="AF22" s="76">
        <v>4</v>
      </c>
      <c r="AG22" s="76">
        <v>8</v>
      </c>
      <c r="AH22" s="77">
        <v>2</v>
      </c>
      <c r="AI22" s="76">
        <v>4</v>
      </c>
      <c r="AJ22" s="76">
        <v>6</v>
      </c>
      <c r="AK22" s="77">
        <v>2</v>
      </c>
    </row>
    <row r="23" spans="2:37" x14ac:dyDescent="0.2">
      <c r="B23" s="75" t="s">
        <v>46</v>
      </c>
      <c r="C23" s="78">
        <v>0</v>
      </c>
      <c r="D23" s="76">
        <v>0</v>
      </c>
      <c r="E23" s="77">
        <v>1</v>
      </c>
      <c r="F23" s="78">
        <v>0</v>
      </c>
      <c r="G23" s="76">
        <v>0</v>
      </c>
      <c r="H23" s="77">
        <v>1</v>
      </c>
      <c r="I23" s="78">
        <v>0</v>
      </c>
      <c r="J23" s="76">
        <v>0</v>
      </c>
      <c r="K23" s="77">
        <v>1</v>
      </c>
      <c r="L23" s="78">
        <v>0</v>
      </c>
      <c r="M23" s="76">
        <v>0</v>
      </c>
      <c r="N23" s="77">
        <v>1</v>
      </c>
      <c r="O23" s="78">
        <v>0</v>
      </c>
      <c r="P23" s="76">
        <v>0</v>
      </c>
      <c r="Q23" s="77">
        <v>1</v>
      </c>
      <c r="S23" s="75">
        <v>13</v>
      </c>
      <c r="T23" s="44" t="s">
        <v>30</v>
      </c>
      <c r="U23" s="33" t="s">
        <v>36</v>
      </c>
      <c r="V23" s="46" t="s">
        <v>26</v>
      </c>
      <c r="W23" s="76">
        <v>4</v>
      </c>
      <c r="X23" s="76">
        <v>1</v>
      </c>
      <c r="Y23" s="77">
        <v>5</v>
      </c>
      <c r="Z23" s="76">
        <v>4</v>
      </c>
      <c r="AA23" s="76">
        <v>1</v>
      </c>
      <c r="AB23" s="77">
        <v>5</v>
      </c>
      <c r="AC23" s="76">
        <v>4</v>
      </c>
      <c r="AD23" s="76">
        <v>1</v>
      </c>
      <c r="AE23" s="77">
        <v>5</v>
      </c>
      <c r="AF23" s="76">
        <v>4</v>
      </c>
      <c r="AG23" s="76">
        <v>1</v>
      </c>
      <c r="AH23" s="77">
        <v>5</v>
      </c>
      <c r="AI23" s="76">
        <v>4</v>
      </c>
      <c r="AJ23" s="76">
        <v>1</v>
      </c>
      <c r="AK23" s="77">
        <v>5</v>
      </c>
    </row>
    <row r="24" spans="2:37" x14ac:dyDescent="0.2">
      <c r="B24" s="75" t="s">
        <v>35</v>
      </c>
      <c r="C24" s="78">
        <v>0</v>
      </c>
      <c r="D24" s="76">
        <v>0</v>
      </c>
      <c r="E24" s="77">
        <v>2</v>
      </c>
      <c r="F24" s="78">
        <v>0</v>
      </c>
      <c r="G24" s="76">
        <v>0</v>
      </c>
      <c r="H24" s="77">
        <v>2</v>
      </c>
      <c r="I24" s="78">
        <v>0</v>
      </c>
      <c r="J24" s="76">
        <v>0</v>
      </c>
      <c r="K24" s="77">
        <v>2</v>
      </c>
      <c r="L24" s="78">
        <v>0</v>
      </c>
      <c r="M24" s="76">
        <v>0</v>
      </c>
      <c r="N24" s="77">
        <v>2</v>
      </c>
      <c r="O24" s="78">
        <v>0</v>
      </c>
      <c r="P24" s="76">
        <v>0</v>
      </c>
      <c r="Q24" s="77">
        <v>2</v>
      </c>
      <c r="S24" s="75">
        <v>14</v>
      </c>
      <c r="T24" s="44" t="s">
        <v>47</v>
      </c>
      <c r="U24" s="33" t="s">
        <v>37</v>
      </c>
      <c r="V24" s="46" t="s">
        <v>37</v>
      </c>
      <c r="W24" s="76">
        <v>4</v>
      </c>
      <c r="X24" s="76">
        <v>2</v>
      </c>
      <c r="Y24" s="77">
        <v>4</v>
      </c>
      <c r="Z24" s="76">
        <v>4</v>
      </c>
      <c r="AA24" s="76">
        <v>2</v>
      </c>
      <c r="AB24" s="77">
        <v>4</v>
      </c>
      <c r="AC24" s="76">
        <v>4</v>
      </c>
      <c r="AD24" s="76">
        <v>2</v>
      </c>
      <c r="AE24" s="77">
        <v>4</v>
      </c>
      <c r="AF24" s="76">
        <v>3</v>
      </c>
      <c r="AG24" s="76">
        <v>2</v>
      </c>
      <c r="AH24" s="77">
        <v>4</v>
      </c>
      <c r="AI24" s="76">
        <v>3</v>
      </c>
      <c r="AJ24" s="76">
        <v>2</v>
      </c>
      <c r="AK24" s="77">
        <v>4</v>
      </c>
    </row>
    <row r="25" spans="2:37" x14ac:dyDescent="0.2">
      <c r="B25" s="75" t="s">
        <v>36</v>
      </c>
      <c r="C25" s="78">
        <v>2</v>
      </c>
      <c r="D25" s="76">
        <v>3</v>
      </c>
      <c r="E25" s="77">
        <v>4</v>
      </c>
      <c r="F25" s="78">
        <v>2</v>
      </c>
      <c r="G25" s="76">
        <v>3</v>
      </c>
      <c r="H25" s="77">
        <v>4</v>
      </c>
      <c r="I25" s="78">
        <v>2</v>
      </c>
      <c r="J25" s="76">
        <v>3</v>
      </c>
      <c r="K25" s="77">
        <v>4</v>
      </c>
      <c r="L25" s="78">
        <v>2</v>
      </c>
      <c r="M25" s="76">
        <v>3</v>
      </c>
      <c r="N25" s="77">
        <v>4</v>
      </c>
      <c r="O25" s="78">
        <v>2</v>
      </c>
      <c r="P25" s="76">
        <v>3</v>
      </c>
      <c r="Q25" s="77">
        <v>4</v>
      </c>
      <c r="S25" s="75">
        <v>15</v>
      </c>
      <c r="T25" s="44" t="s">
        <v>6</v>
      </c>
      <c r="U25" s="33" t="s">
        <v>32</v>
      </c>
      <c r="V25" s="46" t="s">
        <v>31</v>
      </c>
      <c r="W25" s="76">
        <v>2</v>
      </c>
      <c r="X25" s="76">
        <v>3</v>
      </c>
      <c r="Y25" s="77">
        <v>7</v>
      </c>
      <c r="Z25" s="76">
        <v>2</v>
      </c>
      <c r="AA25" s="76">
        <v>3</v>
      </c>
      <c r="AB25" s="77">
        <v>7</v>
      </c>
      <c r="AC25" s="76">
        <v>2</v>
      </c>
      <c r="AD25" s="76">
        <v>3</v>
      </c>
      <c r="AE25" s="77">
        <v>7</v>
      </c>
      <c r="AF25" s="76">
        <v>2</v>
      </c>
      <c r="AG25" s="76">
        <v>3</v>
      </c>
      <c r="AH25" s="77">
        <v>7</v>
      </c>
      <c r="AI25" s="76">
        <v>2</v>
      </c>
      <c r="AJ25" s="76">
        <v>3</v>
      </c>
      <c r="AK25" s="77">
        <v>7</v>
      </c>
    </row>
    <row r="26" spans="2:37" x14ac:dyDescent="0.2">
      <c r="B26" s="75" t="s">
        <v>37</v>
      </c>
      <c r="C26" s="78">
        <v>2</v>
      </c>
      <c r="D26" s="76">
        <v>4</v>
      </c>
      <c r="E26" s="77">
        <v>4</v>
      </c>
      <c r="F26" s="78">
        <v>3</v>
      </c>
      <c r="G26" s="76">
        <v>4</v>
      </c>
      <c r="H26" s="77">
        <v>4</v>
      </c>
      <c r="I26" s="78">
        <v>3</v>
      </c>
      <c r="J26" s="76">
        <v>4</v>
      </c>
      <c r="K26" s="77">
        <v>4</v>
      </c>
      <c r="L26" s="78">
        <v>3</v>
      </c>
      <c r="M26" s="76">
        <v>4</v>
      </c>
      <c r="N26" s="77">
        <v>4</v>
      </c>
      <c r="O26" s="78">
        <v>3</v>
      </c>
      <c r="P26" s="76">
        <v>4</v>
      </c>
      <c r="Q26" s="77">
        <v>4</v>
      </c>
      <c r="S26" s="75">
        <v>16</v>
      </c>
      <c r="T26" s="44" t="s">
        <v>26</v>
      </c>
      <c r="U26" s="33" t="s">
        <v>29</v>
      </c>
      <c r="V26" s="46" t="s">
        <v>46</v>
      </c>
      <c r="W26" s="76">
        <v>3</v>
      </c>
      <c r="X26" s="76">
        <v>4</v>
      </c>
      <c r="Y26" s="77">
        <v>1</v>
      </c>
      <c r="Z26" s="76">
        <v>3</v>
      </c>
      <c r="AA26" s="76">
        <v>4</v>
      </c>
      <c r="AB26" s="77">
        <v>1</v>
      </c>
      <c r="AC26" s="76">
        <v>3</v>
      </c>
      <c r="AD26" s="76">
        <v>4</v>
      </c>
      <c r="AE26" s="77">
        <v>1</v>
      </c>
      <c r="AF26" s="76">
        <v>3</v>
      </c>
      <c r="AG26" s="76">
        <v>4</v>
      </c>
      <c r="AH26" s="77">
        <v>1</v>
      </c>
      <c r="AI26" s="76">
        <v>3</v>
      </c>
      <c r="AJ26" s="76">
        <v>4</v>
      </c>
      <c r="AK26" s="77">
        <v>1</v>
      </c>
    </row>
    <row r="27" spans="2:37" x14ac:dyDescent="0.2">
      <c r="B27" s="75" t="s">
        <v>38</v>
      </c>
      <c r="C27" s="78">
        <v>3</v>
      </c>
      <c r="D27" s="76">
        <v>4</v>
      </c>
      <c r="E27" s="77">
        <v>4</v>
      </c>
      <c r="F27" s="78">
        <v>2</v>
      </c>
      <c r="G27" s="76">
        <v>5</v>
      </c>
      <c r="H27" s="77">
        <v>4</v>
      </c>
      <c r="I27" s="78">
        <v>3</v>
      </c>
      <c r="J27" s="76">
        <v>4</v>
      </c>
      <c r="K27" s="77">
        <v>4</v>
      </c>
      <c r="L27" s="78">
        <v>4</v>
      </c>
      <c r="M27" s="76">
        <v>4</v>
      </c>
      <c r="N27" s="77">
        <v>4</v>
      </c>
      <c r="O27" s="78">
        <v>4</v>
      </c>
      <c r="P27" s="76">
        <v>4</v>
      </c>
      <c r="Q27" s="77">
        <v>4</v>
      </c>
      <c r="S27" s="75">
        <v>17</v>
      </c>
      <c r="T27" s="44" t="s">
        <v>36</v>
      </c>
      <c r="U27" s="33" t="s">
        <v>38</v>
      </c>
      <c r="V27" s="46" t="s">
        <v>40</v>
      </c>
      <c r="W27" s="76">
        <v>1</v>
      </c>
      <c r="X27" s="76">
        <v>2</v>
      </c>
      <c r="Y27" s="77">
        <v>3</v>
      </c>
      <c r="Z27" s="76">
        <v>1</v>
      </c>
      <c r="AA27" s="76">
        <v>2</v>
      </c>
      <c r="AB27" s="77">
        <v>3</v>
      </c>
      <c r="AC27" s="76">
        <v>1</v>
      </c>
      <c r="AD27" s="76">
        <v>2</v>
      </c>
      <c r="AE27" s="77">
        <v>3</v>
      </c>
      <c r="AF27" s="76">
        <v>1</v>
      </c>
      <c r="AG27" s="76">
        <v>2</v>
      </c>
      <c r="AH27" s="77">
        <v>6</v>
      </c>
      <c r="AI27" s="76">
        <v>1</v>
      </c>
      <c r="AJ27" s="76">
        <v>2</v>
      </c>
      <c r="AK27" s="77">
        <v>3</v>
      </c>
    </row>
    <row r="28" spans="2:37" x14ac:dyDescent="0.2">
      <c r="B28" s="75" t="s">
        <v>39</v>
      </c>
      <c r="C28" s="78">
        <v>12</v>
      </c>
      <c r="D28" s="76">
        <v>13</v>
      </c>
      <c r="E28" s="77">
        <v>12</v>
      </c>
      <c r="F28" s="78">
        <v>12</v>
      </c>
      <c r="G28" s="76">
        <v>13</v>
      </c>
      <c r="H28" s="77">
        <v>12</v>
      </c>
      <c r="I28" s="78">
        <v>11</v>
      </c>
      <c r="J28" s="76">
        <v>13</v>
      </c>
      <c r="K28" s="77">
        <v>12</v>
      </c>
      <c r="L28" s="78">
        <v>11</v>
      </c>
      <c r="M28" s="76">
        <v>13</v>
      </c>
      <c r="N28" s="77">
        <v>6</v>
      </c>
      <c r="O28" s="78">
        <v>11</v>
      </c>
      <c r="P28" s="76">
        <v>16</v>
      </c>
      <c r="Q28" s="77">
        <v>12</v>
      </c>
      <c r="S28" s="75">
        <v>18</v>
      </c>
      <c r="T28" s="44" t="s">
        <v>27</v>
      </c>
      <c r="U28" s="33" t="s">
        <v>30</v>
      </c>
      <c r="V28" s="46" t="s">
        <v>29</v>
      </c>
      <c r="W28" s="76">
        <v>3</v>
      </c>
      <c r="X28" s="76">
        <v>5</v>
      </c>
      <c r="Y28" s="77">
        <v>3</v>
      </c>
      <c r="Z28" s="76">
        <v>3</v>
      </c>
      <c r="AA28" s="76">
        <v>4</v>
      </c>
      <c r="AB28" s="77">
        <v>3</v>
      </c>
      <c r="AC28" s="76">
        <v>3</v>
      </c>
      <c r="AD28" s="76">
        <v>4</v>
      </c>
      <c r="AE28" s="77">
        <v>3</v>
      </c>
      <c r="AF28" s="76">
        <v>3</v>
      </c>
      <c r="AG28" s="76">
        <v>4</v>
      </c>
      <c r="AH28" s="77">
        <v>3</v>
      </c>
      <c r="AI28" s="76">
        <v>3</v>
      </c>
      <c r="AJ28" s="76">
        <v>4</v>
      </c>
      <c r="AK28" s="77">
        <v>3</v>
      </c>
    </row>
    <row r="29" spans="2:37" x14ac:dyDescent="0.2">
      <c r="B29" s="75" t="s">
        <v>40</v>
      </c>
      <c r="C29" s="78">
        <v>20</v>
      </c>
      <c r="D29" s="76">
        <v>16</v>
      </c>
      <c r="E29" s="77">
        <v>12</v>
      </c>
      <c r="F29" s="78">
        <v>20</v>
      </c>
      <c r="G29" s="76">
        <v>15</v>
      </c>
      <c r="H29" s="77">
        <v>12</v>
      </c>
      <c r="I29" s="78">
        <v>20</v>
      </c>
      <c r="J29" s="76">
        <v>16</v>
      </c>
      <c r="K29" s="77">
        <v>12</v>
      </c>
      <c r="L29" s="78">
        <v>20</v>
      </c>
      <c r="M29" s="76">
        <v>16</v>
      </c>
      <c r="N29" s="77">
        <v>18</v>
      </c>
      <c r="O29" s="78">
        <v>20</v>
      </c>
      <c r="P29" s="76">
        <v>13</v>
      </c>
      <c r="Q29" s="77">
        <v>12</v>
      </c>
      <c r="S29" s="75">
        <v>19</v>
      </c>
      <c r="T29" s="44" t="s">
        <v>32</v>
      </c>
      <c r="U29" s="33" t="s">
        <v>47</v>
      </c>
      <c r="V29" s="46" t="s">
        <v>34</v>
      </c>
      <c r="W29" s="76">
        <v>3</v>
      </c>
      <c r="X29" s="76">
        <v>2</v>
      </c>
      <c r="Y29" s="77">
        <v>2</v>
      </c>
      <c r="Z29" s="76">
        <v>3</v>
      </c>
      <c r="AA29" s="76">
        <v>2</v>
      </c>
      <c r="AB29" s="77">
        <v>2</v>
      </c>
      <c r="AC29" s="76">
        <v>3</v>
      </c>
      <c r="AD29" s="76">
        <v>2</v>
      </c>
      <c r="AE29" s="77">
        <v>2</v>
      </c>
      <c r="AF29" s="76">
        <v>3</v>
      </c>
      <c r="AG29" s="76">
        <v>2</v>
      </c>
      <c r="AH29" s="77">
        <v>2</v>
      </c>
      <c r="AI29" s="76">
        <v>3</v>
      </c>
      <c r="AJ29" s="76">
        <v>2</v>
      </c>
      <c r="AK29" s="77">
        <v>2</v>
      </c>
    </row>
    <row r="30" spans="2:37" x14ac:dyDescent="0.2">
      <c r="B30" s="75" t="s">
        <v>41</v>
      </c>
      <c r="C30" s="78">
        <v>0</v>
      </c>
      <c r="D30" s="76">
        <v>0</v>
      </c>
      <c r="E30" s="77">
        <v>2</v>
      </c>
      <c r="F30" s="78">
        <v>0</v>
      </c>
      <c r="G30" s="76">
        <v>0</v>
      </c>
      <c r="H30" s="77">
        <v>2</v>
      </c>
      <c r="I30" s="78">
        <v>0</v>
      </c>
      <c r="J30" s="76">
        <v>0</v>
      </c>
      <c r="K30" s="77">
        <v>2</v>
      </c>
      <c r="L30" s="78">
        <v>0</v>
      </c>
      <c r="M30" s="76">
        <v>0</v>
      </c>
      <c r="N30" s="77">
        <v>2</v>
      </c>
      <c r="O30" s="78">
        <v>0</v>
      </c>
      <c r="P30" s="76">
        <v>0</v>
      </c>
      <c r="Q30" s="77">
        <v>2</v>
      </c>
      <c r="S30" s="75">
        <v>20</v>
      </c>
      <c r="T30" s="44" t="s">
        <v>29</v>
      </c>
      <c r="U30" s="33" t="s">
        <v>33</v>
      </c>
      <c r="V30" s="46" t="s">
        <v>36</v>
      </c>
      <c r="W30" s="76">
        <v>4</v>
      </c>
      <c r="X30" s="76">
        <v>5</v>
      </c>
      <c r="Y30" s="77">
        <v>4</v>
      </c>
      <c r="Z30" s="76">
        <v>4</v>
      </c>
      <c r="AA30" s="76">
        <v>5</v>
      </c>
      <c r="AB30" s="77">
        <v>4</v>
      </c>
      <c r="AC30" s="76">
        <v>4</v>
      </c>
      <c r="AD30" s="76">
        <v>5</v>
      </c>
      <c r="AE30" s="77">
        <v>4</v>
      </c>
      <c r="AF30" s="76">
        <v>4</v>
      </c>
      <c r="AG30" s="76">
        <v>5</v>
      </c>
      <c r="AH30" s="77">
        <v>4</v>
      </c>
      <c r="AI30" s="76">
        <v>4</v>
      </c>
      <c r="AJ30" s="76">
        <v>5</v>
      </c>
      <c r="AK30" s="77">
        <v>4</v>
      </c>
    </row>
    <row r="31" spans="2:37" x14ac:dyDescent="0.2">
      <c r="B31" s="86" t="s">
        <v>42</v>
      </c>
      <c r="C31" s="24">
        <f t="shared" ref="C31:Q31" si="0">SUM(C12:C14)</f>
        <v>24</v>
      </c>
      <c r="D31" s="25">
        <f t="shared" si="0"/>
        <v>21</v>
      </c>
      <c r="E31" s="26">
        <f t="shared" si="0"/>
        <v>20</v>
      </c>
      <c r="F31" s="24">
        <f t="shared" si="0"/>
        <v>24</v>
      </c>
      <c r="G31" s="25">
        <f t="shared" si="0"/>
        <v>21</v>
      </c>
      <c r="H31" s="26">
        <f t="shared" si="0"/>
        <v>20</v>
      </c>
      <c r="I31" s="24">
        <f t="shared" si="0"/>
        <v>24</v>
      </c>
      <c r="J31" s="25">
        <f t="shared" si="0"/>
        <v>21</v>
      </c>
      <c r="K31" s="26">
        <f t="shared" si="0"/>
        <v>20</v>
      </c>
      <c r="L31" s="24">
        <f t="shared" si="0"/>
        <v>24</v>
      </c>
      <c r="M31" s="25">
        <f t="shared" si="0"/>
        <v>21</v>
      </c>
      <c r="N31" s="26">
        <f t="shared" si="0"/>
        <v>20</v>
      </c>
      <c r="O31" s="25">
        <f t="shared" si="0"/>
        <v>24</v>
      </c>
      <c r="P31" s="25">
        <f t="shared" si="0"/>
        <v>21</v>
      </c>
      <c r="Q31" s="26">
        <f t="shared" si="0"/>
        <v>20</v>
      </c>
      <c r="S31" s="75">
        <v>21</v>
      </c>
      <c r="T31" s="44" t="s">
        <v>37</v>
      </c>
      <c r="U31" s="33" t="s">
        <v>31</v>
      </c>
      <c r="V31" s="46" t="s">
        <v>33</v>
      </c>
      <c r="W31" s="76">
        <v>1</v>
      </c>
      <c r="X31" s="76">
        <v>8</v>
      </c>
      <c r="Y31" s="77">
        <v>3</v>
      </c>
      <c r="Z31" s="76">
        <v>1</v>
      </c>
      <c r="AA31" s="76">
        <v>8</v>
      </c>
      <c r="AB31" s="77">
        <v>3</v>
      </c>
      <c r="AC31" s="76">
        <v>1</v>
      </c>
      <c r="AD31" s="76">
        <v>8</v>
      </c>
      <c r="AE31" s="77">
        <v>3</v>
      </c>
      <c r="AF31" s="76">
        <v>1</v>
      </c>
      <c r="AG31" s="76">
        <v>8</v>
      </c>
      <c r="AH31" s="77">
        <v>3</v>
      </c>
      <c r="AI31" s="76">
        <v>1</v>
      </c>
      <c r="AJ31" s="76">
        <v>8</v>
      </c>
      <c r="AK31" s="77">
        <v>3</v>
      </c>
    </row>
    <row r="32" spans="2:37" x14ac:dyDescent="0.2">
      <c r="B32" s="86" t="s">
        <v>43</v>
      </c>
      <c r="C32" s="24">
        <f t="shared" ref="C32:Q32" si="1">SUM(C15:C17)</f>
        <v>38</v>
      </c>
      <c r="D32" s="25">
        <f t="shared" si="1"/>
        <v>40</v>
      </c>
      <c r="E32" s="26">
        <f t="shared" si="1"/>
        <v>36</v>
      </c>
      <c r="F32" s="24">
        <f t="shared" si="1"/>
        <v>38</v>
      </c>
      <c r="G32" s="25">
        <f t="shared" si="1"/>
        <v>41</v>
      </c>
      <c r="H32" s="26">
        <f t="shared" si="1"/>
        <v>36</v>
      </c>
      <c r="I32" s="24">
        <f t="shared" si="1"/>
        <v>38</v>
      </c>
      <c r="J32" s="25">
        <f t="shared" si="1"/>
        <v>41</v>
      </c>
      <c r="K32" s="26">
        <f t="shared" si="1"/>
        <v>36</v>
      </c>
      <c r="L32" s="24">
        <f t="shared" si="1"/>
        <v>38</v>
      </c>
      <c r="M32" s="25">
        <f t="shared" si="1"/>
        <v>41</v>
      </c>
      <c r="N32" s="26">
        <f t="shared" si="1"/>
        <v>37</v>
      </c>
      <c r="O32" s="25">
        <f t="shared" si="1"/>
        <v>38</v>
      </c>
      <c r="P32" s="25">
        <f t="shared" si="1"/>
        <v>41</v>
      </c>
      <c r="Q32" s="26">
        <f t="shared" si="1"/>
        <v>37</v>
      </c>
      <c r="S32" s="75">
        <v>22</v>
      </c>
      <c r="T32" s="44" t="s">
        <v>33</v>
      </c>
      <c r="U32" s="33" t="s">
        <v>26</v>
      </c>
      <c r="V32" s="46" t="s">
        <v>30</v>
      </c>
      <c r="W32" s="76">
        <v>4</v>
      </c>
      <c r="X32" s="76">
        <v>2</v>
      </c>
      <c r="Y32" s="77">
        <v>5</v>
      </c>
      <c r="Z32" s="76">
        <v>4</v>
      </c>
      <c r="AA32" s="76">
        <v>2</v>
      </c>
      <c r="AB32" s="77">
        <v>5</v>
      </c>
      <c r="AC32" s="76">
        <v>4</v>
      </c>
      <c r="AD32" s="76">
        <v>2</v>
      </c>
      <c r="AE32" s="77">
        <v>5</v>
      </c>
      <c r="AF32" s="76">
        <v>4</v>
      </c>
      <c r="AG32" s="76">
        <v>2</v>
      </c>
      <c r="AH32" s="77">
        <v>5</v>
      </c>
      <c r="AI32" s="76">
        <v>4</v>
      </c>
      <c r="AJ32" s="76">
        <v>2</v>
      </c>
      <c r="AK32" s="77">
        <v>5</v>
      </c>
    </row>
    <row r="33" spans="2:37" x14ac:dyDescent="0.2">
      <c r="B33" s="74" t="s">
        <v>44</v>
      </c>
      <c r="C33" s="13">
        <f t="shared" ref="C33:Q33" si="2">SUM(C10:C30)</f>
        <v>128</v>
      </c>
      <c r="D33" s="14">
        <f t="shared" si="2"/>
        <v>128</v>
      </c>
      <c r="E33" s="15">
        <f t="shared" si="2"/>
        <v>128</v>
      </c>
      <c r="F33" s="13">
        <f t="shared" si="2"/>
        <v>128</v>
      </c>
      <c r="G33" s="14">
        <f t="shared" si="2"/>
        <v>128</v>
      </c>
      <c r="H33" s="15">
        <f t="shared" si="2"/>
        <v>128</v>
      </c>
      <c r="I33" s="13">
        <f t="shared" si="2"/>
        <v>128</v>
      </c>
      <c r="J33" s="14">
        <f t="shared" si="2"/>
        <v>128</v>
      </c>
      <c r="K33" s="15">
        <f t="shared" si="2"/>
        <v>128</v>
      </c>
      <c r="L33" s="13">
        <f t="shared" si="2"/>
        <v>128</v>
      </c>
      <c r="M33" s="14">
        <f t="shared" si="2"/>
        <v>128</v>
      </c>
      <c r="N33" s="15">
        <f t="shared" si="2"/>
        <v>128</v>
      </c>
      <c r="O33" s="14">
        <f t="shared" si="2"/>
        <v>128</v>
      </c>
      <c r="P33" s="14">
        <f t="shared" si="2"/>
        <v>128</v>
      </c>
      <c r="Q33" s="15">
        <f t="shared" si="2"/>
        <v>128</v>
      </c>
      <c r="S33" s="75">
        <v>23</v>
      </c>
      <c r="T33" s="44" t="s">
        <v>137</v>
      </c>
      <c r="U33" s="33" t="s">
        <v>29</v>
      </c>
      <c r="V33" s="46" t="s">
        <v>32</v>
      </c>
      <c r="W33" s="76">
        <v>2</v>
      </c>
      <c r="X33" s="76">
        <v>4</v>
      </c>
      <c r="Y33" s="77">
        <v>5</v>
      </c>
      <c r="Z33" s="76">
        <v>2</v>
      </c>
      <c r="AA33" s="76">
        <v>4</v>
      </c>
      <c r="AB33" s="77">
        <v>5</v>
      </c>
      <c r="AC33" s="76">
        <v>2</v>
      </c>
      <c r="AD33" s="76">
        <v>4</v>
      </c>
      <c r="AE33" s="77">
        <v>5</v>
      </c>
      <c r="AF33" s="76">
        <v>2</v>
      </c>
      <c r="AG33" s="76">
        <v>4</v>
      </c>
      <c r="AH33" s="77">
        <v>5</v>
      </c>
      <c r="AI33" s="76">
        <v>2</v>
      </c>
      <c r="AJ33" s="76">
        <v>4</v>
      </c>
      <c r="AK33" s="77">
        <v>5</v>
      </c>
    </row>
    <row r="34" spans="2:37" x14ac:dyDescent="0.2">
      <c r="S34" s="75">
        <v>24</v>
      </c>
      <c r="T34" s="44" t="s">
        <v>39</v>
      </c>
      <c r="U34" s="33" t="s">
        <v>27</v>
      </c>
      <c r="V34" s="46" t="s">
        <v>28</v>
      </c>
      <c r="W34" s="76">
        <v>6</v>
      </c>
      <c r="X34" s="76">
        <v>3</v>
      </c>
      <c r="Y34" s="77">
        <v>4</v>
      </c>
      <c r="Z34" s="76">
        <v>6</v>
      </c>
      <c r="AA34" s="76">
        <v>3</v>
      </c>
      <c r="AB34" s="77">
        <v>4</v>
      </c>
      <c r="AC34" s="76">
        <v>6</v>
      </c>
      <c r="AD34" s="76">
        <v>3</v>
      </c>
      <c r="AE34" s="77">
        <v>4</v>
      </c>
      <c r="AF34" s="76">
        <v>6</v>
      </c>
      <c r="AG34" s="76">
        <v>3</v>
      </c>
      <c r="AH34" s="77">
        <v>4</v>
      </c>
      <c r="AI34" s="76">
        <v>6</v>
      </c>
      <c r="AJ34" s="76">
        <v>3</v>
      </c>
      <c r="AK34" s="77">
        <v>4</v>
      </c>
    </row>
    <row r="35" spans="2:37" x14ac:dyDescent="0.2">
      <c r="S35" s="75">
        <v>25</v>
      </c>
      <c r="T35" s="44" t="s">
        <v>30</v>
      </c>
      <c r="U35" s="33" t="s">
        <v>36</v>
      </c>
      <c r="V35" s="46" t="s">
        <v>40</v>
      </c>
      <c r="W35" s="76">
        <v>6</v>
      </c>
      <c r="X35" s="76">
        <v>2</v>
      </c>
      <c r="Y35" s="77">
        <v>4</v>
      </c>
      <c r="Z35" s="76">
        <v>6</v>
      </c>
      <c r="AA35" s="76">
        <v>2</v>
      </c>
      <c r="AB35" s="77">
        <v>4</v>
      </c>
      <c r="AC35" s="76">
        <v>6</v>
      </c>
      <c r="AD35" s="76">
        <v>2</v>
      </c>
      <c r="AE35" s="77">
        <v>4</v>
      </c>
      <c r="AF35" s="76">
        <v>6</v>
      </c>
      <c r="AG35" s="76">
        <v>2</v>
      </c>
      <c r="AH35" s="77">
        <v>6</v>
      </c>
      <c r="AI35" s="76">
        <v>6</v>
      </c>
      <c r="AJ35" s="76">
        <v>2</v>
      </c>
      <c r="AK35" s="77">
        <v>4</v>
      </c>
    </row>
    <row r="36" spans="2:37" x14ac:dyDescent="0.2">
      <c r="S36" s="75">
        <v>26</v>
      </c>
      <c r="T36" s="44" t="s">
        <v>28</v>
      </c>
      <c r="U36" s="33" t="s">
        <v>39</v>
      </c>
      <c r="V36" s="46" t="s">
        <v>35</v>
      </c>
      <c r="W36" s="76">
        <v>4</v>
      </c>
      <c r="X36" s="76">
        <v>6</v>
      </c>
      <c r="Y36" s="77">
        <v>2</v>
      </c>
      <c r="Z36" s="76">
        <v>4</v>
      </c>
      <c r="AA36" s="76">
        <v>6</v>
      </c>
      <c r="AB36" s="77">
        <v>2</v>
      </c>
      <c r="AC36" s="76">
        <v>4</v>
      </c>
      <c r="AD36" s="76">
        <v>6</v>
      </c>
      <c r="AE36" s="77">
        <v>2</v>
      </c>
      <c r="AF36" s="76">
        <v>4</v>
      </c>
      <c r="AG36" s="76">
        <v>6</v>
      </c>
      <c r="AH36" s="77">
        <v>2</v>
      </c>
      <c r="AI36" s="76">
        <v>4</v>
      </c>
      <c r="AJ36" s="76">
        <v>8</v>
      </c>
      <c r="AK36" s="77">
        <v>2</v>
      </c>
    </row>
    <row r="37" spans="2:37" x14ac:dyDescent="0.2">
      <c r="S37" s="75">
        <v>27</v>
      </c>
      <c r="T37" s="44" t="s">
        <v>40</v>
      </c>
      <c r="U37" s="33" t="s">
        <v>137</v>
      </c>
      <c r="V37" s="46" t="s">
        <v>31</v>
      </c>
      <c r="W37" s="76">
        <v>10</v>
      </c>
      <c r="X37" s="76">
        <v>3</v>
      </c>
      <c r="Y37" s="77">
        <v>7</v>
      </c>
      <c r="Z37" s="76">
        <v>10</v>
      </c>
      <c r="AA37" s="76">
        <v>3</v>
      </c>
      <c r="AB37" s="77">
        <v>8</v>
      </c>
      <c r="AC37" s="76">
        <v>10</v>
      </c>
      <c r="AD37" s="76">
        <v>3</v>
      </c>
      <c r="AE37" s="77">
        <v>8</v>
      </c>
      <c r="AF37" s="76">
        <v>10</v>
      </c>
      <c r="AG37" s="76">
        <v>3</v>
      </c>
      <c r="AH37" s="77">
        <v>8</v>
      </c>
      <c r="AI37" s="76">
        <v>10</v>
      </c>
      <c r="AJ37" s="76">
        <v>3</v>
      </c>
      <c r="AK37" s="77">
        <v>8</v>
      </c>
    </row>
    <row r="38" spans="2:37" x14ac:dyDescent="0.2">
      <c r="S38" s="75">
        <v>28</v>
      </c>
      <c r="T38" s="44" t="s">
        <v>31</v>
      </c>
      <c r="U38" s="33" t="s">
        <v>28</v>
      </c>
      <c r="V38" s="46" t="s">
        <v>45</v>
      </c>
      <c r="W38" s="76">
        <v>10</v>
      </c>
      <c r="X38" s="76">
        <v>5</v>
      </c>
      <c r="Y38" s="77">
        <v>2</v>
      </c>
      <c r="Z38" s="76">
        <v>10</v>
      </c>
      <c r="AA38" s="76">
        <v>5</v>
      </c>
      <c r="AB38" s="77">
        <v>2</v>
      </c>
      <c r="AC38" s="76">
        <v>10</v>
      </c>
      <c r="AD38" s="76">
        <v>5</v>
      </c>
      <c r="AE38" s="77">
        <v>2</v>
      </c>
      <c r="AF38" s="76">
        <v>10</v>
      </c>
      <c r="AG38" s="76">
        <v>5</v>
      </c>
      <c r="AH38" s="77">
        <v>2</v>
      </c>
      <c r="AI38" s="76">
        <v>10</v>
      </c>
      <c r="AJ38" s="76">
        <v>5</v>
      </c>
      <c r="AK38" s="77">
        <v>2</v>
      </c>
    </row>
    <row r="39" spans="2:37" x14ac:dyDescent="0.2">
      <c r="S39" s="75">
        <v>29</v>
      </c>
      <c r="T39" s="44" t="s">
        <v>38</v>
      </c>
      <c r="U39" s="33" t="s">
        <v>30</v>
      </c>
      <c r="V39" s="46" t="s">
        <v>39</v>
      </c>
      <c r="W39" s="76">
        <v>2</v>
      </c>
      <c r="X39" s="76">
        <v>5</v>
      </c>
      <c r="Y39" s="77">
        <v>6</v>
      </c>
      <c r="Z39" s="76">
        <v>1</v>
      </c>
      <c r="AA39" s="76">
        <v>5</v>
      </c>
      <c r="AB39" s="77">
        <v>6</v>
      </c>
      <c r="AC39" s="76">
        <v>2</v>
      </c>
      <c r="AD39" s="76">
        <v>5</v>
      </c>
      <c r="AE39" s="77">
        <v>6</v>
      </c>
      <c r="AF39" s="76">
        <v>2</v>
      </c>
      <c r="AG39" s="76">
        <v>5</v>
      </c>
      <c r="AH39" s="77">
        <v>3</v>
      </c>
      <c r="AI39" s="76">
        <v>2</v>
      </c>
      <c r="AJ39" s="76">
        <v>5</v>
      </c>
      <c r="AK39" s="77">
        <v>6</v>
      </c>
    </row>
    <row r="40" spans="2:37" x14ac:dyDescent="0.2">
      <c r="S40" s="75">
        <v>30</v>
      </c>
      <c r="T40" s="44" t="s">
        <v>27</v>
      </c>
      <c r="U40" s="33" t="s">
        <v>40</v>
      </c>
      <c r="V40" s="46" t="s">
        <v>137</v>
      </c>
      <c r="W40" s="76">
        <v>3</v>
      </c>
      <c r="X40" s="76">
        <v>8</v>
      </c>
      <c r="Y40" s="77">
        <v>5</v>
      </c>
      <c r="Z40" s="76">
        <v>3</v>
      </c>
      <c r="AA40" s="76">
        <v>8</v>
      </c>
      <c r="AB40" s="77">
        <v>5</v>
      </c>
      <c r="AC40" s="76">
        <v>3</v>
      </c>
      <c r="AD40" s="76">
        <v>8</v>
      </c>
      <c r="AE40" s="77">
        <v>5</v>
      </c>
      <c r="AF40" s="76">
        <v>3</v>
      </c>
      <c r="AG40" s="76">
        <v>8</v>
      </c>
      <c r="AH40" s="77">
        <v>5</v>
      </c>
      <c r="AI40" s="76">
        <v>3</v>
      </c>
      <c r="AJ40" s="76">
        <v>7</v>
      </c>
      <c r="AK40" s="77">
        <v>5</v>
      </c>
    </row>
    <row r="41" spans="2:37" x14ac:dyDescent="0.2">
      <c r="S41" s="75">
        <v>31</v>
      </c>
      <c r="T41" s="44" t="s">
        <v>6</v>
      </c>
      <c r="U41" s="33" t="s">
        <v>6</v>
      </c>
      <c r="V41" s="46" t="s">
        <v>38</v>
      </c>
      <c r="W41" s="76">
        <v>2</v>
      </c>
      <c r="X41" s="76">
        <v>2</v>
      </c>
      <c r="Y41" s="77">
        <v>4</v>
      </c>
      <c r="Z41" s="76">
        <v>2</v>
      </c>
      <c r="AA41" s="76">
        <v>2</v>
      </c>
      <c r="AB41" s="77">
        <v>4</v>
      </c>
      <c r="AC41" s="76">
        <v>2</v>
      </c>
      <c r="AD41" s="76">
        <v>2</v>
      </c>
      <c r="AE41" s="77">
        <v>4</v>
      </c>
      <c r="AF41" s="76">
        <v>2</v>
      </c>
      <c r="AG41" s="76">
        <v>2</v>
      </c>
      <c r="AH41" s="77">
        <v>4</v>
      </c>
      <c r="AI41" s="76">
        <v>2</v>
      </c>
      <c r="AJ41" s="76">
        <v>2</v>
      </c>
      <c r="AK41" s="77">
        <v>4</v>
      </c>
    </row>
    <row r="42" spans="2:37" x14ac:dyDescent="0.2">
      <c r="S42" s="74"/>
      <c r="T42" s="13"/>
      <c r="U42" s="14"/>
      <c r="V42" s="15"/>
      <c r="W42" s="14">
        <f>SUM(W10:W41)</f>
        <v>128</v>
      </c>
      <c r="X42" s="14">
        <f t="shared" ref="X42:AI42" si="3">SUM(X10:X41)</f>
        <v>128</v>
      </c>
      <c r="Y42" s="15">
        <f t="shared" si="3"/>
        <v>128</v>
      </c>
      <c r="Z42" s="13">
        <f t="shared" si="3"/>
        <v>128</v>
      </c>
      <c r="AA42" s="14">
        <f t="shared" si="3"/>
        <v>128</v>
      </c>
      <c r="AB42" s="15">
        <f t="shared" si="3"/>
        <v>128</v>
      </c>
      <c r="AC42" s="13">
        <f t="shared" si="3"/>
        <v>128</v>
      </c>
      <c r="AD42" s="14">
        <f t="shared" si="3"/>
        <v>128</v>
      </c>
      <c r="AE42" s="15">
        <f t="shared" si="3"/>
        <v>128</v>
      </c>
      <c r="AF42" s="13">
        <f t="shared" si="3"/>
        <v>128</v>
      </c>
      <c r="AG42" s="14">
        <f t="shared" si="3"/>
        <v>128</v>
      </c>
      <c r="AH42" s="15">
        <f t="shared" si="3"/>
        <v>128</v>
      </c>
      <c r="AI42" s="14">
        <f t="shared" si="3"/>
        <v>128</v>
      </c>
      <c r="AJ42" s="14">
        <f>SUM(AJ10:AJ41)</f>
        <v>128</v>
      </c>
      <c r="AK42" s="15">
        <f t="shared" ref="AK42" si="4">SUM(AK10:AK41)</f>
        <v>128</v>
      </c>
    </row>
  </sheetData>
  <mergeCells count="16">
    <mergeCell ref="B2:E2"/>
    <mergeCell ref="L8:N8"/>
    <mergeCell ref="O8:Q8"/>
    <mergeCell ref="B8:B9"/>
    <mergeCell ref="AI8:AK8"/>
    <mergeCell ref="S8:S9"/>
    <mergeCell ref="S7:AK7"/>
    <mergeCell ref="T8:V8"/>
    <mergeCell ref="C8:E8"/>
    <mergeCell ref="F8:H8"/>
    <mergeCell ref="I8:K8"/>
    <mergeCell ref="B7:Q7"/>
    <mergeCell ref="W8:Y8"/>
    <mergeCell ref="Z8:AB8"/>
    <mergeCell ref="AC8:AE8"/>
    <mergeCell ref="AF8:AH8"/>
  </mergeCells>
  <conditionalFormatting sqref="C33 F33 I33 L33 O33 W42 Z42 AC42 AF42 AI42">
    <cfRule type="cellIs" dxfId="23" priority="134" operator="notEqual">
      <formula>REEL1_VSTOPS</formula>
    </cfRule>
  </conditionalFormatting>
  <conditionalFormatting sqref="C10:Q30">
    <cfRule type="cellIs" dxfId="22" priority="13" operator="notEqual">
      <formula>SUMIF(OFFSET(REEL_LAYOUT,0,MOD(COLUMN(),3),ROWS(REEL_LAYOUT),1),$B10,OFFSET(REEL_LAYOUT,0,COLUMN(),ROWS(REEL_LAYOUT),1))</formula>
    </cfRule>
  </conditionalFormatting>
  <conditionalFormatting sqref="D33 G33 J33 M33 P33 X42 AA42 AD42 AG42 AJ42">
    <cfRule type="cellIs" dxfId="21" priority="133" operator="notEqual">
      <formula>REEL2_VSTOPS</formula>
    </cfRule>
  </conditionalFormatting>
  <conditionalFormatting sqref="E33 H33 K33 N33 Q33 Y42 AB42 AE42 AH42 AK42">
    <cfRule type="cellIs" dxfId="20" priority="132" operator="notEqual">
      <formula>REEL3_VSTOPS</formula>
    </cfRule>
  </conditionalFormatting>
  <conditionalFormatting sqref="W10:W41">
    <cfRule type="expression" dxfId="19" priority="128">
      <formula>IF(SUMIF(OFFSET(REEL_LAYOUT,0,MOD(COLUMN()+1,3),ROWS(REEL_LAYOUT),1),$T10,OFFSET(REEL_LAYOUT,0,COLUMN()-20,ROWS(REEL_LAYOUT),1))&lt;&gt;VLOOKUP($T10,SYMBOL_FACTORS,COLUMN()-21,FALSE),TRUE,FALSE)</formula>
    </cfRule>
  </conditionalFormatting>
  <conditionalFormatting sqref="X10:X41">
    <cfRule type="expression" dxfId="18" priority="127">
      <formula>IF(SUMIF(OFFSET(REEL_LAYOUT,0,MOD(COLUMN()+1,3),ROWS(REEL_LAYOUT),1),$U10,OFFSET(REEL_LAYOUT,0,COLUMN()-20,ROWS(REEL_LAYOUT),1))&lt;&gt;VLOOKUP($U10,SYMBOL_FACTORS,COLUMN()-21,FALSE),TRUE,FALSE)</formula>
    </cfRule>
  </conditionalFormatting>
  <conditionalFormatting sqref="Y10:Y41">
    <cfRule type="expression" dxfId="17" priority="126">
      <formula>IF(SUMIF(OFFSET(REEL_LAYOUT,0,MOD(COLUMN()+1,3),ROWS(REEL_LAYOUT),1),$V10,OFFSET(REEL_LAYOUT,0,COLUMN()-20,ROWS(REEL_LAYOUT),1))&lt;&gt;VLOOKUP($V10,SYMBOL_FACTORS,COLUMN()-21,FALSE),TRUE,FALSE)</formula>
    </cfRule>
  </conditionalFormatting>
  <conditionalFormatting sqref="Z10:Z41">
    <cfRule type="expression" dxfId="16" priority="12">
      <formula>IF(SUMIF(OFFSET(REEL_LAYOUT,0,MOD(COLUMN()+1,3),ROWS(REEL_LAYOUT),1),$T10,OFFSET(REEL_LAYOUT,0,COLUMN()-20,ROWS(REEL_LAYOUT),1))&lt;&gt;VLOOKUP($T10,SYMBOL_FACTORS,COLUMN()-21,FALSE),TRUE,FALSE)</formula>
    </cfRule>
  </conditionalFormatting>
  <conditionalFormatting sqref="AA10:AA41">
    <cfRule type="expression" dxfId="15" priority="11">
      <formula>IF(SUMIF(OFFSET(REEL_LAYOUT,0,MOD(COLUMN()+1,3),ROWS(REEL_LAYOUT),1),$U10,OFFSET(REEL_LAYOUT,0,COLUMN()-20,ROWS(REEL_LAYOUT),1))&lt;&gt;VLOOKUP($U10,SYMBOL_FACTORS,COLUMN()-21,FALSE),TRUE,FALSE)</formula>
    </cfRule>
  </conditionalFormatting>
  <conditionalFormatting sqref="AB10:AB41">
    <cfRule type="expression" dxfId="14" priority="10">
      <formula>IF(SUMIF(OFFSET(REEL_LAYOUT,0,MOD(COLUMN()+1,3),ROWS(REEL_LAYOUT),1),$V10,OFFSET(REEL_LAYOUT,0,COLUMN()-20,ROWS(REEL_LAYOUT),1))&lt;&gt;VLOOKUP($V10,SYMBOL_FACTORS,COLUMN()-21,FALSE),TRUE,FALSE)</formula>
    </cfRule>
  </conditionalFormatting>
  <conditionalFormatting sqref="AC10:AC41">
    <cfRule type="expression" dxfId="13" priority="9">
      <formula>IF(SUMIF(OFFSET(REEL_LAYOUT,0,MOD(COLUMN()+1,3),ROWS(REEL_LAYOUT),1),$T10,OFFSET(REEL_LAYOUT,0,COLUMN()-20,ROWS(REEL_LAYOUT),1))&lt;&gt;VLOOKUP($T10,SYMBOL_FACTORS,COLUMN()-21,FALSE),TRUE,FALSE)</formula>
    </cfRule>
  </conditionalFormatting>
  <conditionalFormatting sqref="AD10:AD41">
    <cfRule type="expression" dxfId="12" priority="8">
      <formula>IF(SUMIF(OFFSET(REEL_LAYOUT,0,MOD(COLUMN()+1,3),ROWS(REEL_LAYOUT),1),$U10,OFFSET(REEL_LAYOUT,0,COLUMN()-20,ROWS(REEL_LAYOUT),1))&lt;&gt;VLOOKUP($U10,SYMBOL_FACTORS,COLUMN()-21,FALSE),TRUE,FALSE)</formula>
    </cfRule>
  </conditionalFormatting>
  <conditionalFormatting sqref="AE10:AE41">
    <cfRule type="expression" dxfId="11" priority="7">
      <formula>IF(SUMIF(OFFSET(REEL_LAYOUT,0,MOD(COLUMN()+1,3),ROWS(REEL_LAYOUT),1),$V10,OFFSET(REEL_LAYOUT,0,COLUMN()-20,ROWS(REEL_LAYOUT),1))&lt;&gt;VLOOKUP($V10,SYMBOL_FACTORS,COLUMN()-21,FALSE),TRUE,FALSE)</formula>
    </cfRule>
  </conditionalFormatting>
  <conditionalFormatting sqref="AF10:AF41">
    <cfRule type="expression" dxfId="10" priority="6">
      <formula>IF(SUMIF(OFFSET(REEL_LAYOUT,0,MOD(COLUMN()+1,3),ROWS(REEL_LAYOUT),1),$T10,OFFSET(REEL_LAYOUT,0,COLUMN()-20,ROWS(REEL_LAYOUT),1))&lt;&gt;VLOOKUP($T10,SYMBOL_FACTORS,COLUMN()-21,FALSE),TRUE,FALSE)</formula>
    </cfRule>
  </conditionalFormatting>
  <conditionalFormatting sqref="AG10:AG41">
    <cfRule type="expression" dxfId="9" priority="5">
      <formula>IF(SUMIF(OFFSET(REEL_LAYOUT,0,MOD(COLUMN()+1,3),ROWS(REEL_LAYOUT),1),$U10,OFFSET(REEL_LAYOUT,0,COLUMN()-20,ROWS(REEL_LAYOUT),1))&lt;&gt;VLOOKUP($U10,SYMBOL_FACTORS,COLUMN()-21,FALSE),TRUE,FALSE)</formula>
    </cfRule>
  </conditionalFormatting>
  <conditionalFormatting sqref="AH10:AH41">
    <cfRule type="expression" dxfId="8" priority="4">
      <formula>IF(SUMIF(OFFSET(REEL_LAYOUT,0,MOD(COLUMN()+1,3),ROWS(REEL_LAYOUT),1),$V10,OFFSET(REEL_LAYOUT,0,COLUMN()-20,ROWS(REEL_LAYOUT),1))&lt;&gt;VLOOKUP($V10,SYMBOL_FACTORS,COLUMN()-21,FALSE),TRUE,FALSE)</formula>
    </cfRule>
  </conditionalFormatting>
  <conditionalFormatting sqref="AI10:AI41">
    <cfRule type="expression" dxfId="7" priority="3">
      <formula>IF(SUMIF(OFFSET(REEL_LAYOUT,0,MOD(COLUMN()+1,3),ROWS(REEL_LAYOUT),1),$T10,OFFSET(REEL_LAYOUT,0,COLUMN()-20,ROWS(REEL_LAYOUT),1))&lt;&gt;VLOOKUP($T10,SYMBOL_FACTORS,COLUMN()-21,FALSE),TRUE,FALSE)</formula>
    </cfRule>
  </conditionalFormatting>
  <conditionalFormatting sqref="AJ10:AJ41">
    <cfRule type="expression" dxfId="6" priority="2">
      <formula>IF(SUMIF(OFFSET(REEL_LAYOUT,0,MOD(COLUMN()+1,3),ROWS(REEL_LAYOUT),1),$U10,OFFSET(REEL_LAYOUT,0,COLUMN()-20,ROWS(REEL_LAYOUT),1))&lt;&gt;VLOOKUP($U10,SYMBOL_FACTORS,COLUMN()-21,FALSE),TRUE,FALSE)</formula>
    </cfRule>
  </conditionalFormatting>
  <conditionalFormatting sqref="AK10:AK41">
    <cfRule type="expression" dxfId="5" priority="1">
      <formula>IF(SUMIF(OFFSET(REEL_LAYOUT,0,MOD(COLUMN()+1,3),ROWS(REEL_LAYOUT),1),$V10,OFFSET(REEL_LAYOUT,0,COLUMN()-20,ROWS(REEL_LAYOUT),1))&lt;&gt;VLOOKUP($V10,SYMBOL_FACTORS,COLUMN()-21,FALSE),TRUE,FALSE)</formula>
    </cfRule>
  </conditionalFormatting>
  <dataValidations count="1">
    <dataValidation type="list" allowBlank="1" showInputMessage="1" showErrorMessage="1" sqref="T10:V41 B10:B30" xr:uid="{00000000-0002-0000-0200-000000000000}">
      <formula1>SYMBOLS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S51"/>
  <sheetViews>
    <sheetView topLeftCell="E7" zoomScale="178" zoomScaleNormal="178" workbookViewId="0">
      <selection activeCell="J5" sqref="J5"/>
    </sheetView>
  </sheetViews>
  <sheetFormatPr defaultColWidth="4.7109375" defaultRowHeight="12.75" x14ac:dyDescent="0.2"/>
  <cols>
    <col min="1" max="1" width="4.7109375" style="1"/>
    <col min="2" max="2" width="16.28515625" style="1" bestFit="1" customWidth="1"/>
    <col min="3" max="7" width="8.7109375" style="1" customWidth="1"/>
    <col min="8" max="8" width="4.7109375" style="1"/>
    <col min="9" max="9" width="10.42578125" style="1" bestFit="1" customWidth="1"/>
    <col min="10" max="10" width="8.140625" style="1" bestFit="1" customWidth="1"/>
    <col min="11" max="11" width="7.7109375" style="1" bestFit="1" customWidth="1"/>
    <col min="12" max="12" width="8.140625" style="1" bestFit="1" customWidth="1"/>
    <col min="13" max="13" width="9" style="1" bestFit="1" customWidth="1"/>
    <col min="14" max="14" width="8.140625" style="1" bestFit="1" customWidth="1"/>
    <col min="15" max="15" width="9" style="1" bestFit="1" customWidth="1"/>
    <col min="16" max="16" width="8.140625" style="1" bestFit="1" customWidth="1"/>
    <col min="17" max="17" width="9" style="1" bestFit="1" customWidth="1"/>
    <col min="18" max="18" width="8.140625" style="1" bestFit="1" customWidth="1"/>
    <col min="19" max="19" width="9" style="1" bestFit="1" customWidth="1"/>
    <col min="20" max="16384" width="4.7109375" style="1"/>
  </cols>
  <sheetData>
    <row r="2" spans="2:19" x14ac:dyDescent="0.2">
      <c r="B2" s="137" t="s">
        <v>89</v>
      </c>
      <c r="C2" s="138"/>
      <c r="D2" s="138"/>
      <c r="E2" s="138"/>
      <c r="F2" s="138"/>
      <c r="G2" s="139"/>
      <c r="I2" s="137" t="s">
        <v>59</v>
      </c>
      <c r="J2" s="138"/>
      <c r="K2" s="138"/>
      <c r="L2" s="138"/>
      <c r="M2" s="138"/>
      <c r="N2" s="138"/>
      <c r="O2" s="138"/>
      <c r="P2" s="138"/>
      <c r="Q2" s="138"/>
      <c r="R2" s="138"/>
      <c r="S2" s="139"/>
    </row>
    <row r="3" spans="2:19" x14ac:dyDescent="0.2">
      <c r="B3" s="5" t="s">
        <v>82</v>
      </c>
      <c r="C3" s="6" t="s">
        <v>66</v>
      </c>
      <c r="D3" s="6" t="s">
        <v>67</v>
      </c>
      <c r="E3" s="6" t="s">
        <v>68</v>
      </c>
      <c r="F3" s="6" t="s">
        <v>69</v>
      </c>
      <c r="G3" s="8" t="s">
        <v>70</v>
      </c>
      <c r="I3" s="95"/>
      <c r="J3" s="172" t="s">
        <v>66</v>
      </c>
      <c r="K3" s="172"/>
      <c r="L3" s="172" t="s">
        <v>67</v>
      </c>
      <c r="M3" s="172"/>
      <c r="N3" s="172" t="s">
        <v>68</v>
      </c>
      <c r="O3" s="172"/>
      <c r="P3" s="172" t="s">
        <v>69</v>
      </c>
      <c r="Q3" s="172"/>
      <c r="R3" s="172" t="s">
        <v>70</v>
      </c>
      <c r="S3" s="173"/>
    </row>
    <row r="4" spans="2:19" x14ac:dyDescent="0.2">
      <c r="B4" s="72">
        <v>0.9</v>
      </c>
      <c r="C4" s="32">
        <f ca="1">1.65*SQRT(K49)</f>
        <v>22.92353613082604</v>
      </c>
      <c r="D4" s="32">
        <f ca="1">1.65*SQRT(M49)</f>
        <v>23.204468594697644</v>
      </c>
      <c r="E4" s="32">
        <f ca="1">1.65*SQRT(O49)</f>
        <v>23.281010100353182</v>
      </c>
      <c r="F4" s="32">
        <f ca="1">1.65*SQRT(Q49)</f>
        <v>23.187780547264989</v>
      </c>
      <c r="G4" s="40">
        <f ca="1">1.65*SQRT(S49)</f>
        <v>23.247473605003147</v>
      </c>
      <c r="I4" s="5" t="s">
        <v>108</v>
      </c>
      <c r="J4" s="6" t="s">
        <v>58</v>
      </c>
      <c r="K4" s="6" t="s">
        <v>59</v>
      </c>
      <c r="L4" s="6" t="s">
        <v>58</v>
      </c>
      <c r="M4" s="6" t="s">
        <v>59</v>
      </c>
      <c r="N4" s="6" t="s">
        <v>58</v>
      </c>
      <c r="O4" s="6" t="s">
        <v>59</v>
      </c>
      <c r="P4" s="6" t="s">
        <v>58</v>
      </c>
      <c r="Q4" s="6" t="s">
        <v>59</v>
      </c>
      <c r="R4" s="6" t="s">
        <v>58</v>
      </c>
      <c r="S4" s="8" t="s">
        <v>59</v>
      </c>
    </row>
    <row r="5" spans="2:19" x14ac:dyDescent="0.2">
      <c r="B5" s="73">
        <v>0.99</v>
      </c>
      <c r="C5" s="36">
        <f ca="1">2.58*SQRT(K49)</f>
        <v>35.84407467729163</v>
      </c>
      <c r="D5" s="36">
        <f ca="1">2.58*SQRT(M49)</f>
        <v>36.283350893527228</v>
      </c>
      <c r="E5" s="36">
        <f ca="1">2.58*SQRT(O49)</f>
        <v>36.403033975097706</v>
      </c>
      <c r="F5" s="36">
        <f ca="1">2.58*SQRT(Q49)</f>
        <v>36.25725685572344</v>
      </c>
      <c r="G5" s="41">
        <f ca="1">2.58*SQRT(S49)</f>
        <v>36.350595091459468</v>
      </c>
      <c r="I5" s="31" t="str">
        <f t="shared" ref="I5:I47" ca="1" si="0">OFFSET(PAYTABLE,ROW()-5,0,1,1)</f>
        <v>2001-W01</v>
      </c>
      <c r="J5" s="38">
        <f t="shared" ref="J5:J36" ca="1" si="1">1-VLOOKUP($I5,PAYTABLE,6+(COLUMN()-8)/2,FALSE)/((COLUMN()-8)/2)</f>
        <v>-3999</v>
      </c>
      <c r="K5" s="39">
        <f t="shared" ref="K5:K36" ca="1" si="2">POWER(J5-(1-COIN1_POUT),2)*VLOOKUP($I5,PAYTABLE,9+(COLUMN()-9)/2*10,FALSE)</f>
        <v>122.01664016923057</v>
      </c>
      <c r="L5" s="38">
        <f t="shared" ref="L5:L36" ca="1" si="3">1-VLOOKUP($I5,PAYTABLE,6+(COLUMN()-8)/2,FALSE)/((COLUMN()-8)/2)</f>
        <v>-3999</v>
      </c>
      <c r="M5" s="39">
        <f t="shared" ref="M5:M36" ca="1" si="4">POWER(L5-(1-COIN2_POUT),2)*VLOOKUP($I5,PAYTABLE,9+(COLUMN()-9)/2*10,FALSE)</f>
        <v>122.01550601218059</v>
      </c>
      <c r="N5" s="38">
        <f t="shared" ref="N5:N36" ca="1" si="5">1-VLOOKUP($I5,PAYTABLE,6+(COLUMN()-8)/2,FALSE)/((COLUMN()-8)/2)</f>
        <v>-3999</v>
      </c>
      <c r="O5" s="39">
        <f t="shared" ref="O5:O36" ca="1" si="6">POWER(N5-(1-COIN2_POUT),2)*VLOOKUP($I5,PAYTABLE,9+(COLUMN()-9)/2*10,FALSE)</f>
        <v>122.01550601218059</v>
      </c>
      <c r="P5" s="38">
        <f t="shared" ref="P5:P36" ca="1" si="7">1-VLOOKUP($I5,PAYTABLE,6+(COLUMN()-8)/2,FALSE)/((COLUMN()-8)/2)</f>
        <v>-3999</v>
      </c>
      <c r="Q5" s="39">
        <f t="shared" ref="Q5:Q36" ca="1" si="8">POWER(P5-(1-COIN2_POUT),2)*VLOOKUP($I5,PAYTABLE,9+(COLUMN()-9)/2*10,FALSE)</f>
        <v>122.01550601218059</v>
      </c>
      <c r="R5" s="38">
        <f t="shared" ref="R5:R36" ca="1" si="9">1-VLOOKUP($I5,PAYTABLE,6+(COLUMN()-8)/2,FALSE)/((COLUMN()-8)/2)</f>
        <v>-3999</v>
      </c>
      <c r="S5" s="34">
        <f t="shared" ref="S5:S36" ca="1" si="10">POWER(R5-(1-COIN2_POUT),2)*VLOOKUP($I5,PAYTABLE,9+(COLUMN()-9)/2*10,FALSE)</f>
        <v>122.01550601218059</v>
      </c>
    </row>
    <row r="6" spans="2:19" x14ac:dyDescent="0.2">
      <c r="I6" s="31" t="str">
        <f t="shared" ca="1" si="0"/>
        <v>2001-W02</v>
      </c>
      <c r="J6" s="38">
        <f t="shared" ca="1" si="1"/>
        <v>-1199</v>
      </c>
      <c r="K6" s="39">
        <f t="shared" ca="1" si="2"/>
        <v>16.455345834714318</v>
      </c>
      <c r="L6" s="38">
        <f t="shared" ca="1" si="3"/>
        <v>-1199</v>
      </c>
      <c r="M6" s="39">
        <f t="shared" ca="1" si="4"/>
        <v>16.454835728698082</v>
      </c>
      <c r="N6" s="38">
        <f t="shared" ca="1" si="5"/>
        <v>-1199</v>
      </c>
      <c r="O6" s="39">
        <f t="shared" ca="1" si="6"/>
        <v>16.454835728698082</v>
      </c>
      <c r="P6" s="38">
        <f t="shared" ca="1" si="7"/>
        <v>-1199</v>
      </c>
      <c r="Q6" s="39">
        <f t="shared" ca="1" si="8"/>
        <v>16.454835728698082</v>
      </c>
      <c r="R6" s="38">
        <f t="shared" ca="1" si="9"/>
        <v>-1199</v>
      </c>
      <c r="S6" s="34">
        <f t="shared" ca="1" si="10"/>
        <v>16.454835728698082</v>
      </c>
    </row>
    <row r="7" spans="2:19" x14ac:dyDescent="0.2">
      <c r="B7" s="137" t="s">
        <v>109</v>
      </c>
      <c r="C7" s="138"/>
      <c r="D7" s="138"/>
      <c r="E7" s="138"/>
      <c r="F7" s="138"/>
      <c r="G7" s="139"/>
      <c r="I7" s="31" t="str">
        <f t="shared" ca="1" si="0"/>
        <v>2001-W03</v>
      </c>
      <c r="J7" s="38">
        <f t="shared" ca="1" si="1"/>
        <v>-899</v>
      </c>
      <c r="K7" s="39">
        <f t="shared" ca="1" si="2"/>
        <v>12.335475738344346</v>
      </c>
      <c r="L7" s="38">
        <f t="shared" ca="1" si="3"/>
        <v>-899</v>
      </c>
      <c r="M7" s="39">
        <f t="shared" ca="1" si="4"/>
        <v>18.502448637532346</v>
      </c>
      <c r="N7" s="38">
        <f t="shared" ca="1" si="5"/>
        <v>-899</v>
      </c>
      <c r="O7" s="39">
        <f t="shared" ca="1" si="6"/>
        <v>18.502448637532346</v>
      </c>
      <c r="P7" s="38">
        <f t="shared" ca="1" si="7"/>
        <v>-899</v>
      </c>
      <c r="Q7" s="39">
        <f t="shared" ca="1" si="8"/>
        <v>18.502448637532346</v>
      </c>
      <c r="R7" s="38">
        <f t="shared" ca="1" si="9"/>
        <v>-899</v>
      </c>
      <c r="S7" s="34">
        <f t="shared" ca="1" si="10"/>
        <v>18.502448637532346</v>
      </c>
    </row>
    <row r="8" spans="2:19" x14ac:dyDescent="0.2">
      <c r="B8" s="5" t="s">
        <v>83</v>
      </c>
      <c r="C8" s="160" t="s">
        <v>78</v>
      </c>
      <c r="D8" s="160"/>
      <c r="E8" s="6"/>
      <c r="F8" s="160" t="s">
        <v>79</v>
      </c>
      <c r="G8" s="161"/>
      <c r="I8" s="31" t="str">
        <f t="shared" ca="1" si="0"/>
        <v>2001-W04</v>
      </c>
      <c r="J8" s="38">
        <f t="shared" ca="1" si="1"/>
        <v>-599</v>
      </c>
      <c r="K8" s="39">
        <f t="shared" ca="1" si="2"/>
        <v>8.215608592479402</v>
      </c>
      <c r="L8" s="38">
        <f t="shared" ca="1" si="3"/>
        <v>-599</v>
      </c>
      <c r="M8" s="39">
        <f t="shared" ca="1" si="4"/>
        <v>6.8459157204529397</v>
      </c>
      <c r="N8" s="38">
        <f t="shared" ca="1" si="5"/>
        <v>-599</v>
      </c>
      <c r="O8" s="39">
        <f t="shared" ca="1" si="6"/>
        <v>8.2150988645435277</v>
      </c>
      <c r="P8" s="38">
        <f t="shared" ca="1" si="7"/>
        <v>-599</v>
      </c>
      <c r="Q8" s="39">
        <f t="shared" ca="1" si="8"/>
        <v>10.953465152724704</v>
      </c>
      <c r="R8" s="38">
        <f t="shared" ca="1" si="9"/>
        <v>-599</v>
      </c>
      <c r="S8" s="34">
        <f t="shared" ca="1" si="10"/>
        <v>10.953465152724704</v>
      </c>
    </row>
    <row r="9" spans="2:19" x14ac:dyDescent="0.2">
      <c r="B9" s="5"/>
      <c r="C9" s="6" t="s">
        <v>80</v>
      </c>
      <c r="D9" s="6" t="s">
        <v>81</v>
      </c>
      <c r="E9" s="6"/>
      <c r="F9" s="6" t="s">
        <v>80</v>
      </c>
      <c r="G9" s="8" t="s">
        <v>81</v>
      </c>
      <c r="I9" s="31" t="str">
        <f t="shared" ca="1" si="0"/>
        <v>2001-W05</v>
      </c>
      <c r="J9" s="38">
        <f t="shared" ca="1" si="1"/>
        <v>-499</v>
      </c>
      <c r="K9" s="39">
        <f t="shared" ca="1" si="2"/>
        <v>9.5032237742506069</v>
      </c>
      <c r="L9" s="38">
        <f t="shared" ca="1" si="3"/>
        <v>-499</v>
      </c>
      <c r="M9" s="39">
        <f t="shared" ca="1" si="4"/>
        <v>9.5025160288287562</v>
      </c>
      <c r="N9" s="38">
        <f t="shared" ca="1" si="5"/>
        <v>-499</v>
      </c>
      <c r="O9" s="39">
        <f t="shared" ca="1" si="6"/>
        <v>9.5025160288287562</v>
      </c>
      <c r="P9" s="38">
        <f t="shared" ca="1" si="7"/>
        <v>-499</v>
      </c>
      <c r="Q9" s="39">
        <f t="shared" ca="1" si="8"/>
        <v>5.7015096172972539</v>
      </c>
      <c r="R9" s="38">
        <f t="shared" ca="1" si="9"/>
        <v>-499</v>
      </c>
      <c r="S9" s="34">
        <f t="shared" ca="1" si="10"/>
        <v>5.7015096172972539</v>
      </c>
    </row>
    <row r="10" spans="2:19" x14ac:dyDescent="0.2">
      <c r="B10" s="152" t="s">
        <v>66</v>
      </c>
      <c r="C10" s="177"/>
      <c r="D10" s="177"/>
      <c r="E10" s="177"/>
      <c r="F10" s="177"/>
      <c r="G10" s="153"/>
      <c r="I10" s="31" t="str">
        <f t="shared" ca="1" si="0"/>
        <v>2001-W06</v>
      </c>
      <c r="J10" s="38">
        <f t="shared" ca="1" si="1"/>
        <v>-399</v>
      </c>
      <c r="K10" s="39">
        <f t="shared" ca="1" si="2"/>
        <v>9.4948531471258484</v>
      </c>
      <c r="L10" s="38">
        <f t="shared" ca="1" si="3"/>
        <v>-399</v>
      </c>
      <c r="M10" s="39">
        <f t="shared" ca="1" si="4"/>
        <v>9.4939688591822424</v>
      </c>
      <c r="N10" s="38">
        <f t="shared" ca="1" si="5"/>
        <v>-399</v>
      </c>
      <c r="O10" s="39">
        <f t="shared" ca="1" si="6"/>
        <v>9.4939688591822424</v>
      </c>
      <c r="P10" s="38">
        <f t="shared" ca="1" si="7"/>
        <v>-399</v>
      </c>
      <c r="Q10" s="39">
        <f t="shared" ca="1" si="8"/>
        <v>9.4939688591822424</v>
      </c>
      <c r="R10" s="38">
        <f t="shared" ca="1" si="9"/>
        <v>-399</v>
      </c>
      <c r="S10" s="34">
        <f t="shared" ca="1" si="10"/>
        <v>9.4939688591822424</v>
      </c>
    </row>
    <row r="11" spans="2:19" x14ac:dyDescent="0.2">
      <c r="B11" s="31">
        <v>1000</v>
      </c>
      <c r="C11" s="32">
        <f ca="1">100*(COIN1_POUT-$C$4/SQRT(B11))</f>
        <v>15.455828748935884</v>
      </c>
      <c r="D11" s="32">
        <f ca="1">100*(COIN1_POUT+$C$4/SQRT(B11))</f>
        <v>160.43700114608365</v>
      </c>
      <c r="E11" s="33"/>
      <c r="F11" s="32">
        <f ca="1">100*(COIN1_POUT-$C$5/SQRT(B11))</f>
        <v>-25.402501653896657</v>
      </c>
      <c r="G11" s="40">
        <f ca="1">100*(COIN1_POUT+$C$5/SQRT(B11))</f>
        <v>201.29533154891618</v>
      </c>
      <c r="I11" s="31" t="str">
        <f t="shared" ca="1" si="0"/>
        <v>2001-W07</v>
      </c>
      <c r="J11" s="38">
        <f t="shared" ca="1" si="1"/>
        <v>-199</v>
      </c>
      <c r="K11" s="39">
        <f t="shared" ca="1" si="2"/>
        <v>3.4030999200496823</v>
      </c>
      <c r="L11" s="38">
        <f t="shared" ca="1" si="3"/>
        <v>-199</v>
      </c>
      <c r="M11" s="39">
        <f t="shared" ca="1" si="4"/>
        <v>3.4024646505316332</v>
      </c>
      <c r="N11" s="38">
        <f t="shared" ca="1" si="5"/>
        <v>-199</v>
      </c>
      <c r="O11" s="39">
        <f t="shared" ca="1" si="6"/>
        <v>3.4024646505316332</v>
      </c>
      <c r="P11" s="38">
        <f t="shared" ca="1" si="7"/>
        <v>-199</v>
      </c>
      <c r="Q11" s="39">
        <f t="shared" ca="1" si="8"/>
        <v>3.4024646505316332</v>
      </c>
      <c r="R11" s="38">
        <f t="shared" ca="1" si="9"/>
        <v>-199</v>
      </c>
      <c r="S11" s="34">
        <f t="shared" ca="1" si="10"/>
        <v>3.4024646505316332</v>
      </c>
    </row>
    <row r="12" spans="2:19" x14ac:dyDescent="0.2">
      <c r="B12" s="31">
        <v>10000</v>
      </c>
      <c r="C12" s="32">
        <f ca="1">100*(COIN1_POUT-$C$4/SQRT(B12))</f>
        <v>65.022878816683729</v>
      </c>
      <c r="D12" s="32">
        <f ca="1">100*(COIN1_POUT+$C$4/SQRT(B12))</f>
        <v>110.86995107833579</v>
      </c>
      <c r="E12" s="33"/>
      <c r="F12" s="32">
        <f ca="1">100*(COIN1_POUT-$C$5/SQRT(B12))</f>
        <v>52.102340270218136</v>
      </c>
      <c r="G12" s="40">
        <f ca="1">100*(COIN1_POUT+$C$5/SQRT(B12))</f>
        <v>123.7904896248014</v>
      </c>
      <c r="I12" s="31" t="str">
        <f t="shared" ca="1" si="0"/>
        <v>2001-W08</v>
      </c>
      <c r="J12" s="38">
        <f t="shared" ca="1" si="1"/>
        <v>-99</v>
      </c>
      <c r="K12" s="39">
        <f t="shared" ca="1" si="2"/>
        <v>2.2487367158421003</v>
      </c>
      <c r="L12" s="38">
        <f t="shared" ca="1" si="3"/>
        <v>-99</v>
      </c>
      <c r="M12" s="39">
        <f t="shared" ca="1" si="4"/>
        <v>2.0231041235594649</v>
      </c>
      <c r="N12" s="38">
        <f t="shared" ca="1" si="5"/>
        <v>-99</v>
      </c>
      <c r="O12" s="39">
        <f t="shared" ca="1" si="6"/>
        <v>2.0231041235594649</v>
      </c>
      <c r="P12" s="38">
        <f t="shared" ca="1" si="7"/>
        <v>-99</v>
      </c>
      <c r="Q12" s="39">
        <f t="shared" ca="1" si="8"/>
        <v>2.0231041235594649</v>
      </c>
      <c r="R12" s="38">
        <f t="shared" ca="1" si="9"/>
        <v>-99</v>
      </c>
      <c r="S12" s="34">
        <f t="shared" ca="1" si="10"/>
        <v>2.0231041235594649</v>
      </c>
    </row>
    <row r="13" spans="2:19" x14ac:dyDescent="0.2">
      <c r="B13" s="31">
        <v>100000</v>
      </c>
      <c r="C13" s="32">
        <f ca="1">100*(COIN1_POUT-$C$4/SQRT(B13))</f>
        <v>80.697356327652386</v>
      </c>
      <c r="D13" s="32">
        <f ca="1">100*(COIN1_POUT+$C$4/SQRT(B13))</f>
        <v>95.195473567367145</v>
      </c>
      <c r="E13" s="33"/>
      <c r="F13" s="32">
        <f ca="1">100*(COIN1_POUT-$C$5/SQRT(B13))</f>
        <v>76.611523287369124</v>
      </c>
      <c r="G13" s="40">
        <f ca="1">100*(COIN1_POUT+$C$5/SQRT(B13))</f>
        <v>99.281306607650407</v>
      </c>
      <c r="I13" s="31" t="str">
        <f t="shared" ca="1" si="0"/>
        <v>2001-W09</v>
      </c>
      <c r="J13" s="38">
        <f t="shared" ca="1" si="1"/>
        <v>-79</v>
      </c>
      <c r="K13" s="39">
        <f t="shared" ca="1" si="2"/>
        <v>0.35820346030850581</v>
      </c>
      <c r="L13" s="38">
        <f t="shared" ca="1" si="3"/>
        <v>-79</v>
      </c>
      <c r="M13" s="39">
        <f t="shared" ca="1" si="4"/>
        <v>0.35803518934477052</v>
      </c>
      <c r="N13" s="38">
        <f t="shared" ca="1" si="5"/>
        <v>-79</v>
      </c>
      <c r="O13" s="39">
        <f t="shared" ca="1" si="6"/>
        <v>0.35803518934477052</v>
      </c>
      <c r="P13" s="38">
        <f t="shared" ca="1" si="7"/>
        <v>-79</v>
      </c>
      <c r="Q13" s="39">
        <f t="shared" ca="1" si="8"/>
        <v>0.35803518934477052</v>
      </c>
      <c r="R13" s="38">
        <f t="shared" ca="1" si="9"/>
        <v>-79</v>
      </c>
      <c r="S13" s="34">
        <f t="shared" ca="1" si="10"/>
        <v>0.35803518934477052</v>
      </c>
    </row>
    <row r="14" spans="2:19" x14ac:dyDescent="0.2">
      <c r="B14" s="31">
        <v>1000000</v>
      </c>
      <c r="C14" s="32">
        <f ca="1">100*(COIN1_POUT-$C$4/SQRT(B14))</f>
        <v>85.654061334427169</v>
      </c>
      <c r="D14" s="32">
        <f ca="1">100*(COIN1_POUT+$C$4/SQRT(B14))</f>
        <v>90.238768560592362</v>
      </c>
      <c r="E14" s="33"/>
      <c r="F14" s="32">
        <f ca="1">100*(COIN1_POUT-$C$5/SQRT(B14))</f>
        <v>84.362007479780601</v>
      </c>
      <c r="G14" s="40">
        <f ca="1">100*(COIN1_POUT+$C$5/SQRT(B14))</f>
        <v>91.53082241523893</v>
      </c>
      <c r="I14" s="31" t="str">
        <f t="shared" ca="1" si="0"/>
        <v>2001-W10</v>
      </c>
      <c r="J14" s="38">
        <f t="shared" ca="1" si="1"/>
        <v>-49</v>
      </c>
      <c r="K14" s="39">
        <f t="shared" ca="1" si="2"/>
        <v>0.29453455105501736</v>
      </c>
      <c r="L14" s="38">
        <f t="shared" ca="1" si="3"/>
        <v>-49</v>
      </c>
      <c r="M14" s="39">
        <f t="shared" ca="1" si="4"/>
        <v>0.29431170209147384</v>
      </c>
      <c r="N14" s="38">
        <f t="shared" ca="1" si="5"/>
        <v>-49</v>
      </c>
      <c r="O14" s="39">
        <f t="shared" ca="1" si="6"/>
        <v>0.29431170209147384</v>
      </c>
      <c r="P14" s="38">
        <f t="shared" ca="1" si="7"/>
        <v>-49</v>
      </c>
      <c r="Q14" s="39">
        <f t="shared" ca="1" si="8"/>
        <v>0.29431170209147384</v>
      </c>
      <c r="R14" s="38">
        <f t="shared" ca="1" si="9"/>
        <v>-49</v>
      </c>
      <c r="S14" s="34">
        <f t="shared" ca="1" si="10"/>
        <v>0.29431170209147384</v>
      </c>
    </row>
    <row r="15" spans="2:19" x14ac:dyDescent="0.2">
      <c r="B15" s="31">
        <v>10000000</v>
      </c>
      <c r="C15" s="32">
        <f ca="1">100*(COIN1_POUT-$C$4/SQRT(B15))</f>
        <v>87.221509085524033</v>
      </c>
      <c r="D15" s="32">
        <f ca="1">100*(COIN1_POUT+$C$4/SQRT(B15))</f>
        <v>88.671320809495498</v>
      </c>
      <c r="E15" s="33"/>
      <c r="F15" s="32">
        <f ca="1">100*(COIN1_POUT-$C$5/SQRT(B15))</f>
        <v>86.812925781495693</v>
      </c>
      <c r="G15" s="40">
        <f ca="1">100*(COIN1_POUT+$C$5/SQRT(B15))</f>
        <v>89.079904113523838</v>
      </c>
      <c r="I15" s="31" t="str">
        <f t="shared" ca="1" si="0"/>
        <v>2001-W11</v>
      </c>
      <c r="J15" s="38">
        <f t="shared" ca="1" si="1"/>
        <v>-49</v>
      </c>
      <c r="K15" s="39">
        <f t="shared" ca="1" si="2"/>
        <v>0.16567568496844726</v>
      </c>
      <c r="L15" s="38">
        <f t="shared" ca="1" si="3"/>
        <v>-49</v>
      </c>
      <c r="M15" s="39">
        <f t="shared" ca="1" si="4"/>
        <v>0.16555033242645403</v>
      </c>
      <c r="N15" s="38">
        <f t="shared" ca="1" si="5"/>
        <v>-49</v>
      </c>
      <c r="O15" s="39">
        <f t="shared" ca="1" si="6"/>
        <v>0.16555033242645403</v>
      </c>
      <c r="P15" s="38">
        <f t="shared" ca="1" si="7"/>
        <v>-49</v>
      </c>
      <c r="Q15" s="39">
        <f t="shared" ca="1" si="8"/>
        <v>0.16555033242645403</v>
      </c>
      <c r="R15" s="38">
        <f t="shared" ca="1" si="9"/>
        <v>-49</v>
      </c>
      <c r="S15" s="34">
        <f t="shared" ca="1" si="10"/>
        <v>0.16555033242645403</v>
      </c>
    </row>
    <row r="16" spans="2:19" x14ac:dyDescent="0.2">
      <c r="B16" s="152" t="s">
        <v>67</v>
      </c>
      <c r="C16" s="177"/>
      <c r="D16" s="177"/>
      <c r="E16" s="177"/>
      <c r="F16" s="177"/>
      <c r="G16" s="153"/>
      <c r="I16" s="31" t="str">
        <f t="shared" ca="1" si="0"/>
        <v>2001-W12</v>
      </c>
      <c r="J16" s="38">
        <f t="shared" ca="1" si="1"/>
        <v>-49</v>
      </c>
      <c r="K16" s="39">
        <f t="shared" ca="1" si="2"/>
        <v>2.1537839045898144</v>
      </c>
      <c r="L16" s="38">
        <f t="shared" ca="1" si="3"/>
        <v>-49</v>
      </c>
      <c r="M16" s="39">
        <f t="shared" ca="1" si="4"/>
        <v>2.1521543215439025</v>
      </c>
      <c r="N16" s="38">
        <f t="shared" ca="1" si="5"/>
        <v>-49</v>
      </c>
      <c r="O16" s="39">
        <f t="shared" ca="1" si="6"/>
        <v>1.9728081280819105</v>
      </c>
      <c r="P16" s="38">
        <f t="shared" ca="1" si="7"/>
        <v>-49</v>
      </c>
      <c r="Q16" s="39">
        <f t="shared" ca="1" si="8"/>
        <v>0.98640406404095526</v>
      </c>
      <c r="R16" s="38">
        <f t="shared" ca="1" si="9"/>
        <v>-49</v>
      </c>
      <c r="S16" s="34">
        <f t="shared" ca="1" si="10"/>
        <v>2.428071542254659</v>
      </c>
    </row>
    <row r="17" spans="2:19" x14ac:dyDescent="0.2">
      <c r="B17" s="31">
        <v>1000</v>
      </c>
      <c r="C17" s="32">
        <f ca="1">100*(COIN2_POUT-$D$4/SQRT(B17))</f>
        <v>16.426058169662795</v>
      </c>
      <c r="D17" s="32">
        <f ca="1">100*(COIN2_POUT+$D$4/SQRT(B17))</f>
        <v>163.18400347584503</v>
      </c>
      <c r="E17" s="33"/>
      <c r="F17" s="32">
        <f ca="1">100*(COIN2_POUT-$D$5/SQRT(B17))</f>
        <v>-24.932999143897661</v>
      </c>
      <c r="G17" s="40">
        <f ca="1">100*(COIN2_POUT+$D$5/SQRT(B17))</f>
        <v>204.54306078940547</v>
      </c>
      <c r="I17" s="31" t="str">
        <f t="shared" ca="1" si="0"/>
        <v>2001-W13</v>
      </c>
      <c r="J17" s="38">
        <f t="shared" ca="1" si="1"/>
        <v>-39</v>
      </c>
      <c r="K17" s="39">
        <f t="shared" ca="1" si="2"/>
        <v>0.54294097231519689</v>
      </c>
      <c r="L17" s="38">
        <f t="shared" ca="1" si="3"/>
        <v>-39</v>
      </c>
      <c r="M17" s="39">
        <f t="shared" ca="1" si="4"/>
        <v>0.54242519257318544</v>
      </c>
      <c r="N17" s="38">
        <f t="shared" ca="1" si="5"/>
        <v>-39</v>
      </c>
      <c r="O17" s="39">
        <f t="shared" ca="1" si="6"/>
        <v>0.54242519257318544</v>
      </c>
      <c r="P17" s="38">
        <f t="shared" ca="1" si="7"/>
        <v>-39</v>
      </c>
      <c r="Q17" s="39">
        <f t="shared" ca="1" si="8"/>
        <v>0.54242519257318544</v>
      </c>
      <c r="R17" s="38">
        <f t="shared" ca="1" si="9"/>
        <v>-39</v>
      </c>
      <c r="S17" s="34">
        <f t="shared" ca="1" si="10"/>
        <v>0.54242519257318544</v>
      </c>
    </row>
    <row r="18" spans="2:19" x14ac:dyDescent="0.2">
      <c r="B18" s="31">
        <v>10000</v>
      </c>
      <c r="C18" s="32">
        <f ca="1">100*(COIN2_POUT-$D$4/SQRT(B18))</f>
        <v>66.600562228056262</v>
      </c>
      <c r="D18" s="32">
        <f ca="1">100*(COIN2_POUT+$D$4/SQRT(B18))</f>
        <v>113.00949941745155</v>
      </c>
      <c r="E18" s="33"/>
      <c r="F18" s="32">
        <f ca="1">100*(COIN2_POUT-$D$5/SQRT(B18))</f>
        <v>53.521679929226671</v>
      </c>
      <c r="G18" s="40">
        <f ca="1">100*(COIN2_POUT+$D$5/SQRT(B18))</f>
        <v>126.08838171628113</v>
      </c>
      <c r="I18" s="31" t="str">
        <f t="shared" ca="1" si="0"/>
        <v>2001-W14</v>
      </c>
      <c r="J18" s="38">
        <f t="shared" ca="1" si="1"/>
        <v>-39</v>
      </c>
      <c r="K18" s="39">
        <f t="shared" ca="1" si="2"/>
        <v>8.7571124566967251E-2</v>
      </c>
      <c r="L18" s="38">
        <f t="shared" ca="1" si="3"/>
        <v>-39</v>
      </c>
      <c r="M18" s="39">
        <f t="shared" ca="1" si="4"/>
        <v>8.7487934285997646E-2</v>
      </c>
      <c r="N18" s="38">
        <f t="shared" ca="1" si="5"/>
        <v>-39</v>
      </c>
      <c r="O18" s="39">
        <f t="shared" ca="1" si="6"/>
        <v>8.7487934285997646E-2</v>
      </c>
      <c r="P18" s="38">
        <f t="shared" ca="1" si="7"/>
        <v>-39</v>
      </c>
      <c r="Q18" s="39">
        <f t="shared" ca="1" si="8"/>
        <v>8.7487934285997646E-2</v>
      </c>
      <c r="R18" s="38">
        <f t="shared" ca="1" si="9"/>
        <v>-39</v>
      </c>
      <c r="S18" s="34">
        <f t="shared" ca="1" si="10"/>
        <v>8.7487934285997646E-2</v>
      </c>
    </row>
    <row r="19" spans="2:19" x14ac:dyDescent="0.2">
      <c r="B19" s="31">
        <v>100000</v>
      </c>
      <c r="C19" s="32">
        <f ca="1">100*(COIN2_POUT-$D$4/SQRT(B19))</f>
        <v>82.467133557444797</v>
      </c>
      <c r="D19" s="32">
        <f ca="1">100*(COIN2_POUT+$D$4/SQRT(B19))</f>
        <v>97.142928088063016</v>
      </c>
      <c r="E19" s="33"/>
      <c r="F19" s="32">
        <f ca="1">100*(COIN2_POUT-$D$5/SQRT(B19))</f>
        <v>78.33122782608875</v>
      </c>
      <c r="G19" s="40">
        <f ca="1">100*(COIN2_POUT+$D$5/SQRT(B19))</f>
        <v>101.27883381941906</v>
      </c>
      <c r="I19" s="31" t="str">
        <f t="shared" ca="1" si="0"/>
        <v>2001-W15</v>
      </c>
      <c r="J19" s="38">
        <f t="shared" ca="1" si="1"/>
        <v>-39</v>
      </c>
      <c r="K19" s="39">
        <f t="shared" ca="1" si="2"/>
        <v>0.10946390570870906</v>
      </c>
      <c r="L19" s="38">
        <f t="shared" ca="1" si="3"/>
        <v>-39</v>
      </c>
      <c r="M19" s="39">
        <f t="shared" ca="1" si="4"/>
        <v>0.10935991785749706</v>
      </c>
      <c r="N19" s="38">
        <f t="shared" ca="1" si="5"/>
        <v>-39</v>
      </c>
      <c r="O19" s="39">
        <f t="shared" ca="1" si="6"/>
        <v>0.10935991785749706</v>
      </c>
      <c r="P19" s="38">
        <f t="shared" ca="1" si="7"/>
        <v>-39</v>
      </c>
      <c r="Q19" s="39">
        <f t="shared" ca="1" si="8"/>
        <v>0.10935991785749706</v>
      </c>
      <c r="R19" s="38">
        <f t="shared" ca="1" si="9"/>
        <v>-39</v>
      </c>
      <c r="S19" s="34">
        <f t="shared" ca="1" si="10"/>
        <v>0.10935991785749706</v>
      </c>
    </row>
    <row r="20" spans="2:19" x14ac:dyDescent="0.2">
      <c r="B20" s="31">
        <v>1000000</v>
      </c>
      <c r="C20" s="32">
        <f ca="1">100*(COIN2_POUT-$D$4/SQRT(B20))</f>
        <v>87.484583963284152</v>
      </c>
      <c r="D20" s="32">
        <f ca="1">100*(COIN2_POUT+$D$4/SQRT(B20))</f>
        <v>92.125477682223661</v>
      </c>
      <c r="E20" s="33"/>
      <c r="F20" s="32">
        <f ca="1">100*(COIN2_POUT-$D$5/SQRT(B20))</f>
        <v>86.176695733401189</v>
      </c>
      <c r="G20" s="40">
        <f ca="1">100*(COIN2_POUT+$D$5/SQRT(B20))</f>
        <v>93.433365912106623</v>
      </c>
      <c r="I20" s="31" t="str">
        <f t="shared" ca="1" si="0"/>
        <v>2001-W16</v>
      </c>
      <c r="J20" s="38">
        <f t="shared" ca="1" si="1"/>
        <v>-29</v>
      </c>
      <c r="K20" s="39">
        <f t="shared" ca="1" si="2"/>
        <v>0.40112569968983292</v>
      </c>
      <c r="L20" s="38">
        <f t="shared" ca="1" si="3"/>
        <v>-29</v>
      </c>
      <c r="M20" s="39">
        <f t="shared" ca="1" si="4"/>
        <v>0.6009207401672999</v>
      </c>
      <c r="N20" s="38">
        <f t="shared" ca="1" si="5"/>
        <v>-29</v>
      </c>
      <c r="O20" s="39">
        <f t="shared" ca="1" si="6"/>
        <v>0.6009207401672999</v>
      </c>
      <c r="P20" s="38">
        <f t="shared" ca="1" si="7"/>
        <v>-29</v>
      </c>
      <c r="Q20" s="39">
        <f t="shared" ca="1" si="8"/>
        <v>0.6009207401672999</v>
      </c>
      <c r="R20" s="38">
        <f t="shared" ca="1" si="9"/>
        <v>-29</v>
      </c>
      <c r="S20" s="34">
        <f t="shared" ca="1" si="10"/>
        <v>0.6009207401672999</v>
      </c>
    </row>
    <row r="21" spans="2:19" x14ac:dyDescent="0.2">
      <c r="B21" s="31">
        <v>10000000</v>
      </c>
      <c r="C21" s="32">
        <f ca="1">100*(COIN2_POUT-$D$4/SQRT(B21))</f>
        <v>89.071241096222991</v>
      </c>
      <c r="D21" s="32">
        <f ca="1">100*(COIN2_POUT+$D$4/SQRT(B21))</f>
        <v>90.538820549284821</v>
      </c>
      <c r="E21" s="33"/>
      <c r="F21" s="32">
        <f ca="1">100*(COIN2_POUT-$D$5/SQRT(B21))</f>
        <v>88.657650523087398</v>
      </c>
      <c r="G21" s="40">
        <f ca="1">100*(COIN2_POUT+$D$5/SQRT(B21))</f>
        <v>90.952411122420415</v>
      </c>
      <c r="I21" s="31" t="str">
        <f t="shared" ca="1" si="0"/>
        <v>2001-W17</v>
      </c>
      <c r="J21" s="38">
        <f t="shared" ca="1" si="1"/>
        <v>-29</v>
      </c>
      <c r="K21" s="39">
        <f t="shared" ca="1" si="2"/>
        <v>0.16174423374590036</v>
      </c>
      <c r="L21" s="38">
        <f t="shared" ca="1" si="3"/>
        <v>-29</v>
      </c>
      <c r="M21" s="39">
        <f t="shared" ca="1" si="4"/>
        <v>0.14538405004047578</v>
      </c>
      <c r="N21" s="38">
        <f t="shared" ca="1" si="5"/>
        <v>-29</v>
      </c>
      <c r="O21" s="39">
        <f t="shared" ca="1" si="6"/>
        <v>0.14538405004047578</v>
      </c>
      <c r="P21" s="38">
        <f t="shared" ca="1" si="7"/>
        <v>-29</v>
      </c>
      <c r="Q21" s="39">
        <f t="shared" ca="1" si="8"/>
        <v>0.14538405004047578</v>
      </c>
      <c r="R21" s="38">
        <f t="shared" ca="1" si="9"/>
        <v>-29</v>
      </c>
      <c r="S21" s="34">
        <f t="shared" ca="1" si="10"/>
        <v>0.14538405004047578</v>
      </c>
    </row>
    <row r="22" spans="2:19" x14ac:dyDescent="0.2">
      <c r="B22" s="152" t="s">
        <v>68</v>
      </c>
      <c r="C22" s="177"/>
      <c r="D22" s="177"/>
      <c r="E22" s="177"/>
      <c r="F22" s="177"/>
      <c r="G22" s="153"/>
      <c r="I22" s="31" t="str">
        <f t="shared" ca="1" si="0"/>
        <v>2001-W18</v>
      </c>
      <c r="J22" s="38">
        <f t="shared" ca="1" si="1"/>
        <v>-29</v>
      </c>
      <c r="K22" s="39">
        <f t="shared" ca="1" si="2"/>
        <v>0.19409308049508045</v>
      </c>
      <c r="L22" s="38">
        <f t="shared" ca="1" si="3"/>
        <v>-29</v>
      </c>
      <c r="M22" s="39">
        <f t="shared" ca="1" si="4"/>
        <v>0.19384540005396772</v>
      </c>
      <c r="N22" s="38">
        <f t="shared" ca="1" si="5"/>
        <v>-29</v>
      </c>
      <c r="O22" s="39">
        <f t="shared" ca="1" si="6"/>
        <v>0.19384540005396772</v>
      </c>
      <c r="P22" s="38">
        <f t="shared" ca="1" si="7"/>
        <v>-29</v>
      </c>
      <c r="Q22" s="39">
        <f t="shared" ca="1" si="8"/>
        <v>0.19384540005396772</v>
      </c>
      <c r="R22" s="38">
        <f t="shared" ca="1" si="9"/>
        <v>-29</v>
      </c>
      <c r="S22" s="34">
        <f t="shared" ca="1" si="10"/>
        <v>0.19384540005396772</v>
      </c>
    </row>
    <row r="23" spans="2:19" x14ac:dyDescent="0.2">
      <c r="B23" s="31">
        <v>1000</v>
      </c>
      <c r="C23" s="32">
        <f ca="1">100*(COIN3_POUT-$E$4/SQRT(B23))</f>
        <v>18.044440532697948</v>
      </c>
      <c r="D23" s="32">
        <f ca="1">100*(COIN3_POUT+$E$4/SQRT(B23))</f>
        <v>165.28647682570048</v>
      </c>
      <c r="E23" s="33"/>
      <c r="F23" s="32">
        <f ca="1">100*(COIN3_POUT-$E$5/SQRT(B23))</f>
        <v>-23.451042422602786</v>
      </c>
      <c r="G23" s="40">
        <f ca="1">100*(COIN3_POUT+$E$5/SQRT(B23))</f>
        <v>206.78195978100123</v>
      </c>
      <c r="I23" s="31" t="str">
        <f t="shared" ca="1" si="0"/>
        <v>2001-W19</v>
      </c>
      <c r="J23" s="38">
        <f t="shared" ca="1" si="1"/>
        <v>-24</v>
      </c>
      <c r="K23" s="39">
        <f t="shared" ca="1" si="2"/>
        <v>7.1020538295465951E-2</v>
      </c>
      <c r="L23" s="38">
        <f t="shared" ca="1" si="3"/>
        <v>-24</v>
      </c>
      <c r="M23" s="39">
        <f t="shared" ca="1" si="4"/>
        <v>7.0911130242276688E-2</v>
      </c>
      <c r="N23" s="38">
        <f t="shared" ca="1" si="5"/>
        <v>-24</v>
      </c>
      <c r="O23" s="39">
        <f t="shared" ca="1" si="6"/>
        <v>7.0911130242276688E-2</v>
      </c>
      <c r="P23" s="38">
        <f t="shared" ca="1" si="7"/>
        <v>-24</v>
      </c>
      <c r="Q23" s="39">
        <f t="shared" ca="1" si="8"/>
        <v>7.0911130242276688E-2</v>
      </c>
      <c r="R23" s="38">
        <f t="shared" ca="1" si="9"/>
        <v>-24</v>
      </c>
      <c r="S23" s="34">
        <f t="shared" ca="1" si="10"/>
        <v>7.0911130242276688E-2</v>
      </c>
    </row>
    <row r="24" spans="2:19" x14ac:dyDescent="0.2">
      <c r="B24" s="31">
        <v>10000</v>
      </c>
      <c r="C24" s="32">
        <f ca="1">100*(COIN3_POUT-$E$4/SQRT(B24))</f>
        <v>68.384448578846033</v>
      </c>
      <c r="D24" s="32">
        <f ca="1">100*(COIN3_POUT+$E$4/SQRT(B24))</f>
        <v>114.94646877955242</v>
      </c>
      <c r="E24" s="33"/>
      <c r="F24" s="32">
        <f ca="1">100*(COIN3_POUT-$E$5/SQRT(B24))</f>
        <v>55.26242470410152</v>
      </c>
      <c r="G24" s="40">
        <f ca="1">100*(COIN3_POUT+$E$5/SQRT(B24))</f>
        <v>128.0684926542969</v>
      </c>
      <c r="I24" s="31" t="str">
        <f t="shared" ca="1" si="0"/>
        <v>2001-W20</v>
      </c>
      <c r="J24" s="38">
        <f t="shared" ca="1" si="1"/>
        <v>-24</v>
      </c>
      <c r="K24" s="39">
        <f t="shared" ca="1" si="2"/>
        <v>0.10653080744319893</v>
      </c>
      <c r="L24" s="38">
        <f t="shared" ca="1" si="3"/>
        <v>-24</v>
      </c>
      <c r="M24" s="39">
        <f t="shared" ca="1" si="4"/>
        <v>0.10636669536341503</v>
      </c>
      <c r="N24" s="38">
        <f t="shared" ca="1" si="5"/>
        <v>-24</v>
      </c>
      <c r="O24" s="39">
        <f t="shared" ca="1" si="6"/>
        <v>0.10636669536341503</v>
      </c>
      <c r="P24" s="38">
        <f t="shared" ca="1" si="7"/>
        <v>-24</v>
      </c>
      <c r="Q24" s="39">
        <f t="shared" ca="1" si="8"/>
        <v>0.10636669536341503</v>
      </c>
      <c r="R24" s="38">
        <f t="shared" ca="1" si="9"/>
        <v>-24</v>
      </c>
      <c r="S24" s="34">
        <f t="shared" ca="1" si="10"/>
        <v>0.10636669536341503</v>
      </c>
    </row>
    <row r="25" spans="2:19" x14ac:dyDescent="0.2">
      <c r="B25" s="31">
        <v>100000</v>
      </c>
      <c r="C25" s="32">
        <f ca="1">100*(COIN3_POUT-$E$4/SQRT(B25))</f>
        <v>84.303356864549102</v>
      </c>
      <c r="D25" s="32">
        <f ca="1">100*(COIN3_POUT+$E$4/SQRT(B25))</f>
        <v>99.027560493849336</v>
      </c>
      <c r="E25" s="33"/>
      <c r="F25" s="32">
        <f ca="1">100*(COIN3_POUT-$E$5/SQRT(B25))</f>
        <v>80.15380856901902</v>
      </c>
      <c r="G25" s="40">
        <f ca="1">100*(COIN3_POUT+$E$5/SQRT(B25))</f>
        <v>103.17710878937942</v>
      </c>
      <c r="I25" s="31" t="str">
        <f t="shared" ca="1" si="0"/>
        <v>2001-W21</v>
      </c>
      <c r="J25" s="38">
        <f t="shared" ca="1" si="1"/>
        <v>-24</v>
      </c>
      <c r="K25" s="39">
        <f t="shared" ca="1" si="2"/>
        <v>3.9949052791199598E-2</v>
      </c>
      <c r="L25" s="38">
        <f t="shared" ca="1" si="3"/>
        <v>-24</v>
      </c>
      <c r="M25" s="39">
        <f t="shared" ca="1" si="4"/>
        <v>3.9887510761280637E-2</v>
      </c>
      <c r="N25" s="38">
        <f t="shared" ca="1" si="5"/>
        <v>-24</v>
      </c>
      <c r="O25" s="39">
        <f t="shared" ca="1" si="6"/>
        <v>3.9887510761280637E-2</v>
      </c>
      <c r="P25" s="38">
        <f t="shared" ca="1" si="7"/>
        <v>-24</v>
      </c>
      <c r="Q25" s="39">
        <f t="shared" ca="1" si="8"/>
        <v>3.9887510761280637E-2</v>
      </c>
      <c r="R25" s="38">
        <f t="shared" ca="1" si="9"/>
        <v>-24</v>
      </c>
      <c r="S25" s="34">
        <f t="shared" ca="1" si="10"/>
        <v>3.9887510761280637E-2</v>
      </c>
    </row>
    <row r="26" spans="2:19" x14ac:dyDescent="0.2">
      <c r="B26" s="31">
        <v>1000000</v>
      </c>
      <c r="C26" s="32">
        <f ca="1">100*(COIN3_POUT-$E$4/SQRT(B26))</f>
        <v>89.337357669163893</v>
      </c>
      <c r="D26" s="32">
        <f ca="1">100*(COIN3_POUT+$E$4/SQRT(B26))</f>
        <v>93.993559689234544</v>
      </c>
      <c r="E26" s="33"/>
      <c r="F26" s="32">
        <f ca="1">100*(COIN3_POUT-$E$5/SQRT(B26))</f>
        <v>88.02515528168945</v>
      </c>
      <c r="G26" s="40">
        <f ca="1">100*(COIN3_POUT+$E$5/SQRT(B26))</f>
        <v>95.305762076708987</v>
      </c>
      <c r="I26" s="31" t="str">
        <f t="shared" ca="1" si="0"/>
        <v>2001-W22</v>
      </c>
      <c r="J26" s="38">
        <f t="shared" ca="1" si="1"/>
        <v>-24</v>
      </c>
      <c r="K26" s="39">
        <f t="shared" ca="1" si="2"/>
        <v>5.99235791867994E-2</v>
      </c>
      <c r="L26" s="38">
        <f t="shared" ca="1" si="3"/>
        <v>-24</v>
      </c>
      <c r="M26" s="39">
        <f t="shared" ca="1" si="4"/>
        <v>5.9831266141920955E-2</v>
      </c>
      <c r="N26" s="38">
        <f t="shared" ca="1" si="5"/>
        <v>-24</v>
      </c>
      <c r="O26" s="39">
        <f t="shared" ca="1" si="6"/>
        <v>5.9831266141920955E-2</v>
      </c>
      <c r="P26" s="38">
        <f t="shared" ca="1" si="7"/>
        <v>-24</v>
      </c>
      <c r="Q26" s="39">
        <f t="shared" ca="1" si="8"/>
        <v>5.9831266141920955E-2</v>
      </c>
      <c r="R26" s="38">
        <f t="shared" ca="1" si="9"/>
        <v>-24</v>
      </c>
      <c r="S26" s="34">
        <f t="shared" ca="1" si="10"/>
        <v>5.9831266141920955E-2</v>
      </c>
    </row>
    <row r="27" spans="2:19" x14ac:dyDescent="0.2">
      <c r="B27" s="31">
        <v>10000000</v>
      </c>
      <c r="C27" s="32">
        <f ca="1">100*(COIN3_POUT-$E$4/SQRT(B27))</f>
        <v>90.929248497734207</v>
      </c>
      <c r="D27" s="32">
        <f ca="1">100*(COIN3_POUT+$E$4/SQRT(B27))</f>
        <v>92.40166886066423</v>
      </c>
      <c r="E27" s="33"/>
      <c r="F27" s="32">
        <f ca="1">100*(COIN3_POUT-$E$5/SQRT(B27))</f>
        <v>90.514293668181196</v>
      </c>
      <c r="G27" s="40">
        <f ca="1">100*(COIN3_POUT+$E$5/SQRT(B27))</f>
        <v>92.816623690217241</v>
      </c>
      <c r="I27" s="31" t="str">
        <f t="shared" ca="1" si="0"/>
        <v>2001-W23</v>
      </c>
      <c r="J27" s="38">
        <f t="shared" ca="1" si="1"/>
        <v>-19</v>
      </c>
      <c r="K27" s="39">
        <f t="shared" ca="1" si="2"/>
        <v>0.66942423927833505</v>
      </c>
      <c r="L27" s="38">
        <f t="shared" ca="1" si="3"/>
        <v>-19</v>
      </c>
      <c r="M27" s="39">
        <f t="shared" ca="1" si="4"/>
        <v>0.62636572613583641</v>
      </c>
      <c r="N27" s="38">
        <f t="shared" ca="1" si="5"/>
        <v>-19</v>
      </c>
      <c r="O27" s="39">
        <f t="shared" ca="1" si="6"/>
        <v>0.66812344121155887</v>
      </c>
      <c r="P27" s="38">
        <f t="shared" ca="1" si="7"/>
        <v>-19</v>
      </c>
      <c r="Q27" s="39">
        <f t="shared" ca="1" si="8"/>
        <v>1.0021851618173383</v>
      </c>
      <c r="R27" s="38">
        <f t="shared" ca="1" si="9"/>
        <v>-19</v>
      </c>
      <c r="S27" s="34">
        <f t="shared" ca="1" si="10"/>
        <v>0.54285029598439161</v>
      </c>
    </row>
    <row r="28" spans="2:19" x14ac:dyDescent="0.2">
      <c r="B28" s="152" t="s">
        <v>69</v>
      </c>
      <c r="C28" s="177"/>
      <c r="D28" s="177"/>
      <c r="E28" s="177"/>
      <c r="F28" s="177"/>
      <c r="G28" s="153"/>
      <c r="I28" s="31" t="str">
        <f t="shared" ca="1" si="0"/>
        <v>2001-W24</v>
      </c>
      <c r="J28" s="38">
        <f t="shared" ca="1" si="1"/>
        <v>-19</v>
      </c>
      <c r="K28" s="39">
        <f t="shared" ca="1" si="2"/>
        <v>0.25940189272035485</v>
      </c>
      <c r="L28" s="38">
        <f t="shared" ca="1" si="3"/>
        <v>-19</v>
      </c>
      <c r="M28" s="39">
        <f t="shared" ca="1" si="4"/>
        <v>0.21574819455789923</v>
      </c>
      <c r="N28" s="38">
        <f t="shared" ca="1" si="5"/>
        <v>-19</v>
      </c>
      <c r="O28" s="39">
        <f t="shared" ca="1" si="6"/>
        <v>0.25889783346947903</v>
      </c>
      <c r="P28" s="38">
        <f t="shared" ca="1" si="7"/>
        <v>-19</v>
      </c>
      <c r="Q28" s="39">
        <f t="shared" ca="1" si="8"/>
        <v>0.34519711129263875</v>
      </c>
      <c r="R28" s="38">
        <f t="shared" ca="1" si="9"/>
        <v>-19</v>
      </c>
      <c r="S28" s="34">
        <f t="shared" ca="1" si="10"/>
        <v>0.34519711129263875</v>
      </c>
    </row>
    <row r="29" spans="2:19" x14ac:dyDescent="0.2">
      <c r="B29" s="31">
        <v>1000</v>
      </c>
      <c r="C29" s="32">
        <f ca="1">100*(COIN4_POUT-$F$4/SQRT(B29))</f>
        <v>20.010572505198176</v>
      </c>
      <c r="D29" s="32">
        <f ca="1">100*(COIN4_POUT+$F$4/SQRT(B29))</f>
        <v>166.66297333220416</v>
      </c>
      <c r="E29" s="33"/>
      <c r="F29" s="32">
        <f ca="1">100*(COIN4_POUT-$F$5/SQRT(B29))</f>
        <v>-21.318740455139885</v>
      </c>
      <c r="G29" s="40">
        <f ca="1">100*(COIN4_POUT+$F$5/SQRT(B29))</f>
        <v>207.99228629254225</v>
      </c>
      <c r="I29" s="31" t="str">
        <f t="shared" ca="1" si="0"/>
        <v>2001-W25</v>
      </c>
      <c r="J29" s="38">
        <f t="shared" ca="1" si="1"/>
        <v>-19</v>
      </c>
      <c r="K29" s="39">
        <f t="shared" ca="1" si="2"/>
        <v>0.30681944300257025</v>
      </c>
      <c r="L29" s="38">
        <f t="shared" ca="1" si="3"/>
        <v>-19</v>
      </c>
      <c r="M29" s="39">
        <f t="shared" ca="1" si="4"/>
        <v>0.33406172060577943</v>
      </c>
      <c r="N29" s="38">
        <f t="shared" ca="1" si="5"/>
        <v>-19</v>
      </c>
      <c r="O29" s="39">
        <f t="shared" ca="1" si="6"/>
        <v>0.33406172060577943</v>
      </c>
      <c r="P29" s="38">
        <f t="shared" ca="1" si="7"/>
        <v>-19</v>
      </c>
      <c r="Q29" s="39">
        <f t="shared" ca="1" si="8"/>
        <v>0.33406172060577943</v>
      </c>
      <c r="R29" s="38">
        <f t="shared" ca="1" si="9"/>
        <v>-19</v>
      </c>
      <c r="S29" s="34">
        <f t="shared" ca="1" si="10"/>
        <v>0.33406172060577943</v>
      </c>
    </row>
    <row r="30" spans="2:19" x14ac:dyDescent="0.2">
      <c r="B30" s="31">
        <v>10000</v>
      </c>
      <c r="C30" s="32">
        <f ca="1">100*(COIN4_POUT-$F$4/SQRT(B30))</f>
        <v>70.148992371436179</v>
      </c>
      <c r="D30" s="32">
        <f ca="1">100*(COIN4_POUT+$F$4/SQRT(B30))</f>
        <v>116.52455346596615</v>
      </c>
      <c r="E30" s="33"/>
      <c r="F30" s="32">
        <f ca="1">100*(COIN4_POUT-$F$5/SQRT(B30))</f>
        <v>57.079516062977731</v>
      </c>
      <c r="G30" s="40">
        <f ca="1">100*(COIN4_POUT+$F$5/SQRT(B30))</f>
        <v>129.5940297744246</v>
      </c>
      <c r="I30" s="31" t="str">
        <f t="shared" ca="1" si="0"/>
        <v>2001-W26</v>
      </c>
      <c r="J30" s="38">
        <f t="shared" ca="1" si="1"/>
        <v>-14</v>
      </c>
      <c r="K30" s="39">
        <f t="shared" ca="1" si="2"/>
        <v>3.803053526038342E-2</v>
      </c>
      <c r="L30" s="38">
        <f t="shared" ca="1" si="3"/>
        <v>-14</v>
      </c>
      <c r="M30" s="39">
        <f t="shared" ca="1" si="4"/>
        <v>3.4137437171621945E-2</v>
      </c>
      <c r="N30" s="38">
        <f t="shared" ca="1" si="5"/>
        <v>-14</v>
      </c>
      <c r="O30" s="39">
        <f t="shared" ca="1" si="6"/>
        <v>3.4137437171621945E-2</v>
      </c>
      <c r="P30" s="38">
        <f t="shared" ca="1" si="7"/>
        <v>-14</v>
      </c>
      <c r="Q30" s="39">
        <f t="shared" ca="1" si="8"/>
        <v>3.4137437171621945E-2</v>
      </c>
      <c r="R30" s="38">
        <f t="shared" ca="1" si="9"/>
        <v>-14</v>
      </c>
      <c r="S30" s="34">
        <f t="shared" ca="1" si="10"/>
        <v>3.4137437171621945E-2</v>
      </c>
    </row>
    <row r="31" spans="2:19" x14ac:dyDescent="0.2">
      <c r="B31" s="31">
        <v>100000</v>
      </c>
      <c r="C31" s="32">
        <f ca="1">100*(COIN4_POUT-$F$4/SQRT(B31))</f>
        <v>86.004152877350876</v>
      </c>
      <c r="D31" s="32">
        <f ca="1">100*(COIN4_POUT+$F$4/SQRT(B31))</f>
        <v>100.66939296005147</v>
      </c>
      <c r="E31" s="33"/>
      <c r="F31" s="32">
        <f ca="1">100*(COIN4_POUT-$F$5/SQRT(B31))</f>
        <v>81.871221581317073</v>
      </c>
      <c r="G31" s="40">
        <f ca="1">100*(COIN4_POUT+$F$5/SQRT(B31))</f>
        <v>104.80232425608527</v>
      </c>
      <c r="I31" s="31" t="str">
        <f t="shared" ca="1" si="0"/>
        <v>2001-W27</v>
      </c>
      <c r="J31" s="38">
        <f t="shared" ca="1" si="1"/>
        <v>-14</v>
      </c>
      <c r="K31" s="39">
        <f t="shared" ca="1" si="2"/>
        <v>4.5636642312460104E-2</v>
      </c>
      <c r="L31" s="38">
        <f t="shared" ca="1" si="3"/>
        <v>-14</v>
      </c>
      <c r="M31" s="39">
        <f t="shared" ca="1" si="4"/>
        <v>4.5516582895495927E-2</v>
      </c>
      <c r="N31" s="38">
        <f t="shared" ca="1" si="5"/>
        <v>-14</v>
      </c>
      <c r="O31" s="39">
        <f t="shared" ca="1" si="6"/>
        <v>4.5516582895495927E-2</v>
      </c>
      <c r="P31" s="38">
        <f t="shared" ca="1" si="7"/>
        <v>-14</v>
      </c>
      <c r="Q31" s="39">
        <f t="shared" ca="1" si="8"/>
        <v>4.5516582895495927E-2</v>
      </c>
      <c r="R31" s="38">
        <f t="shared" ca="1" si="9"/>
        <v>-14</v>
      </c>
      <c r="S31" s="34">
        <f t="shared" ca="1" si="10"/>
        <v>4.5516582895495927E-2</v>
      </c>
    </row>
    <row r="32" spans="2:19" x14ac:dyDescent="0.2">
      <c r="B32" s="31">
        <v>1000000</v>
      </c>
      <c r="C32" s="32">
        <f ca="1">100*(COIN4_POUT-$F$4/SQRT(B32))</f>
        <v>91.017994863974678</v>
      </c>
      <c r="D32" s="32">
        <f ca="1">100*(COIN4_POUT+$F$4/SQRT(B32))</f>
        <v>95.655550973427665</v>
      </c>
      <c r="E32" s="33"/>
      <c r="F32" s="32">
        <f ca="1">100*(COIN4_POUT-$F$5/SQRT(B32))</f>
        <v>89.711047233128824</v>
      </c>
      <c r="G32" s="40">
        <f ca="1">100*(COIN4_POUT+$F$5/SQRT(B32))</f>
        <v>96.96249860427352</v>
      </c>
      <c r="I32" s="31" t="str">
        <f t="shared" ca="1" si="0"/>
        <v>2001-W28</v>
      </c>
      <c r="J32" s="38">
        <f t="shared" ca="1" si="1"/>
        <v>-14</v>
      </c>
      <c r="K32" s="39">
        <f t="shared" ca="1" si="2"/>
        <v>0.10268244520303524</v>
      </c>
      <c r="L32" s="38">
        <f t="shared" ca="1" si="3"/>
        <v>-14</v>
      </c>
      <c r="M32" s="39">
        <f t="shared" ca="1" si="4"/>
        <v>0.10241231151486584</v>
      </c>
      <c r="N32" s="38">
        <f t="shared" ca="1" si="5"/>
        <v>-14</v>
      </c>
      <c r="O32" s="39">
        <f t="shared" ca="1" si="6"/>
        <v>0.10241231151486584</v>
      </c>
      <c r="P32" s="38">
        <f t="shared" ca="1" si="7"/>
        <v>-14</v>
      </c>
      <c r="Q32" s="39">
        <f t="shared" ca="1" si="8"/>
        <v>0.10241231151486584</v>
      </c>
      <c r="R32" s="38">
        <f t="shared" ca="1" si="9"/>
        <v>-14</v>
      </c>
      <c r="S32" s="34">
        <f t="shared" ca="1" si="10"/>
        <v>0.10241231151486584</v>
      </c>
    </row>
    <row r="33" spans="2:19" x14ac:dyDescent="0.2">
      <c r="B33" s="31">
        <v>10000000</v>
      </c>
      <c r="C33" s="32">
        <f ca="1">100*(COIN4_POUT-$F$4/SQRT(B33))</f>
        <v>92.603510914566144</v>
      </c>
      <c r="D33" s="32">
        <f ca="1">100*(COIN4_POUT+$F$4/SQRT(B33))</f>
        <v>94.0700349228362</v>
      </c>
      <c r="E33" s="33"/>
      <c r="F33" s="32">
        <f ca="1">100*(COIN4_POUT-$F$5/SQRT(B33))</f>
        <v>92.190217784962755</v>
      </c>
      <c r="G33" s="40">
        <f ca="1">100*(COIN4_POUT+$F$5/SQRT(B33))</f>
        <v>94.483328052439589</v>
      </c>
      <c r="I33" s="31" t="str">
        <f t="shared" ca="1" si="0"/>
        <v>2001-W29</v>
      </c>
      <c r="J33" s="38">
        <f t="shared" ca="1" si="1"/>
        <v>-14</v>
      </c>
      <c r="K33" s="39">
        <f t="shared" ca="1" si="2"/>
        <v>9.5076338150958548E-2</v>
      </c>
      <c r="L33" s="38">
        <f t="shared" ca="1" si="3"/>
        <v>-14</v>
      </c>
      <c r="M33" s="39">
        <f t="shared" ca="1" si="4"/>
        <v>7.6809233636149374E-2</v>
      </c>
      <c r="N33" s="38">
        <f t="shared" ca="1" si="5"/>
        <v>-14</v>
      </c>
      <c r="O33" s="39">
        <f t="shared" ca="1" si="6"/>
        <v>7.6809233636149374E-2</v>
      </c>
      <c r="P33" s="38">
        <f t="shared" ca="1" si="7"/>
        <v>-14</v>
      </c>
      <c r="Q33" s="39">
        <f t="shared" ca="1" si="8"/>
        <v>8.5343592929054857E-2</v>
      </c>
      <c r="R33" s="38">
        <f t="shared" ca="1" si="9"/>
        <v>-14</v>
      </c>
      <c r="S33" s="34">
        <f t="shared" ca="1" si="10"/>
        <v>8.5343592929054857E-2</v>
      </c>
    </row>
    <row r="34" spans="2:19" x14ac:dyDescent="0.2">
      <c r="B34" s="152" t="s">
        <v>70</v>
      </c>
      <c r="C34" s="177"/>
      <c r="D34" s="177"/>
      <c r="E34" s="177"/>
      <c r="F34" s="177"/>
      <c r="G34" s="153"/>
      <c r="I34" s="31" t="str">
        <f t="shared" ca="1" si="0"/>
        <v>2001-W30</v>
      </c>
      <c r="J34" s="38">
        <f t="shared" ca="1" si="1"/>
        <v>-9</v>
      </c>
      <c r="K34" s="39">
        <f t="shared" ca="1" si="2"/>
        <v>6.9810937210678867E-2</v>
      </c>
      <c r="L34" s="38">
        <f t="shared" ca="1" si="3"/>
        <v>-9</v>
      </c>
      <c r="M34" s="39">
        <f t="shared" ca="1" si="4"/>
        <v>7.5847309745687985E-2</v>
      </c>
      <c r="N34" s="38">
        <f t="shared" ca="1" si="5"/>
        <v>-9</v>
      </c>
      <c r="O34" s="39">
        <f t="shared" ca="1" si="6"/>
        <v>7.5847309745687985E-2</v>
      </c>
      <c r="P34" s="38">
        <f t="shared" ca="1" si="7"/>
        <v>-9</v>
      </c>
      <c r="Q34" s="39">
        <f t="shared" ca="1" si="8"/>
        <v>7.5847309745687985E-2</v>
      </c>
      <c r="R34" s="38">
        <f t="shared" ca="1" si="9"/>
        <v>-9</v>
      </c>
      <c r="S34" s="34">
        <f t="shared" ca="1" si="10"/>
        <v>7.5847309745687985E-2</v>
      </c>
    </row>
    <row r="35" spans="2:19" x14ac:dyDescent="0.2">
      <c r="B35" s="31">
        <v>1000</v>
      </c>
      <c r="C35" s="32">
        <f ca="1">100*(COIN5_POUT-$G$4/SQRT(B35))</f>
        <v>21.856375268866756</v>
      </c>
      <c r="D35" s="32">
        <f ca="1">100*(COIN5_POUT+$G$4/SQRT(B35))</f>
        <v>168.88630814177779</v>
      </c>
      <c r="E35" s="33"/>
      <c r="F35" s="32">
        <f ca="1">100*(COIN5_POUT-$E$5/SQRT(B35))</f>
        <v>-19.745159396479739</v>
      </c>
      <c r="G35" s="40">
        <f ca="1">100*(COIN5_POUT+$G$5/SQRT(B35))</f>
        <v>210.32201649687087</v>
      </c>
      <c r="I35" s="31" t="str">
        <f t="shared" ca="1" si="0"/>
        <v>2001-W31</v>
      </c>
      <c r="J35" s="38">
        <f t="shared" ca="1" si="1"/>
        <v>-9</v>
      </c>
      <c r="K35" s="39">
        <f t="shared" ca="1" si="2"/>
        <v>0.34905468605339435</v>
      </c>
      <c r="L35" s="38">
        <f t="shared" ca="1" si="3"/>
        <v>-9</v>
      </c>
      <c r="M35" s="39">
        <f t="shared" ca="1" si="4"/>
        <v>0.39819837616486192</v>
      </c>
      <c r="N35" s="38">
        <f t="shared" ca="1" si="5"/>
        <v>-9</v>
      </c>
      <c r="O35" s="39">
        <f t="shared" ca="1" si="6"/>
        <v>0.39819837616486192</v>
      </c>
      <c r="P35" s="38">
        <f t="shared" ca="1" si="7"/>
        <v>-9</v>
      </c>
      <c r="Q35" s="39">
        <f t="shared" ca="1" si="8"/>
        <v>0.39819837616486192</v>
      </c>
      <c r="R35" s="38">
        <f t="shared" ca="1" si="9"/>
        <v>-9</v>
      </c>
      <c r="S35" s="34">
        <f t="shared" ca="1" si="10"/>
        <v>0.39819837616486192</v>
      </c>
    </row>
    <row r="36" spans="2:19" x14ac:dyDescent="0.2">
      <c r="B36" s="31">
        <v>10000</v>
      </c>
      <c r="C36" s="32">
        <f ca="1">100*(COIN5_POUT-$G$4/SQRT(B36))</f>
        <v>72.123868100319129</v>
      </c>
      <c r="D36" s="32">
        <f ca="1">100*(COIN5_POUT+$G$4/SQRT(B36))</f>
        <v>118.6188153103254</v>
      </c>
      <c r="E36" s="33"/>
      <c r="F36" s="32">
        <f ca="1">100*(COIN5_POUT-$E$5/SQRT(B36))</f>
        <v>58.968307730224566</v>
      </c>
      <c r="G36" s="40">
        <f ca="1">100*(COIN5_POUT+$G$5/SQRT(B36))</f>
        <v>131.72193679678173</v>
      </c>
      <c r="I36" s="31" t="str">
        <f t="shared" ca="1" si="0"/>
        <v>2001-W32</v>
      </c>
      <c r="J36" s="38">
        <f t="shared" ca="1" si="1"/>
        <v>-9</v>
      </c>
      <c r="K36" s="39">
        <f t="shared" ca="1" si="2"/>
        <v>1.2997527218860938</v>
      </c>
      <c r="L36" s="38">
        <f t="shared" ca="1" si="3"/>
        <v>-9</v>
      </c>
      <c r="M36" s="39">
        <f t="shared" ca="1" si="4"/>
        <v>1.2944607529930749</v>
      </c>
      <c r="N36" s="38">
        <f t="shared" ca="1" si="5"/>
        <v>-9</v>
      </c>
      <c r="O36" s="39">
        <f t="shared" ca="1" si="6"/>
        <v>1.2944607529930749</v>
      </c>
      <c r="P36" s="38">
        <f t="shared" ca="1" si="7"/>
        <v>-9</v>
      </c>
      <c r="Q36" s="39">
        <f t="shared" ca="1" si="8"/>
        <v>1.2944607529930749</v>
      </c>
      <c r="R36" s="38">
        <f t="shared" ca="1" si="9"/>
        <v>-9</v>
      </c>
      <c r="S36" s="34">
        <f t="shared" ca="1" si="10"/>
        <v>1.2944607529930749</v>
      </c>
    </row>
    <row r="37" spans="2:19" x14ac:dyDescent="0.2">
      <c r="B37" s="31">
        <v>100000</v>
      </c>
      <c r="C37" s="32">
        <f ca="1">100*(COIN5_POUT-$G$4/SQRT(B37))</f>
        <v>88.019845061676719</v>
      </c>
      <c r="D37" s="32">
        <f ca="1">100*(COIN5_POUT+$G$4/SQRT(B37))</f>
        <v>102.72283834896783</v>
      </c>
      <c r="E37" s="33"/>
      <c r="F37" s="32">
        <f ca="1">100*(COIN5_POUT-$E$5/SQRT(B37))</f>
        <v>83.859691595142067</v>
      </c>
      <c r="G37" s="40">
        <f ca="1">100*(COIN5_POUT+$G$5/SQRT(B37))</f>
        <v>106.86640918447712</v>
      </c>
      <c r="I37" s="31" t="str">
        <f t="shared" ca="1" si="0"/>
        <v>2001-W33</v>
      </c>
      <c r="J37" s="38">
        <f t="shared" ref="J37:J47" ca="1" si="11">1-VLOOKUP($I37,PAYTABLE,6+(COLUMN()-8)/2,FALSE)/((COLUMN()-8)/2)</f>
        <v>-9</v>
      </c>
      <c r="K37" s="39">
        <f t="shared" ref="K37:K47" ca="1" si="12">POWER(J37-(1-COIN1_POUT),2)*VLOOKUP($I37,PAYTABLE,9+(COLUMN()-9)/2*10,FALSE)</f>
        <v>5.0454268256808821E-2</v>
      </c>
      <c r="L37" s="38">
        <f t="shared" ref="L37:L47" ca="1" si="13">1-VLOOKUP($I37,PAYTABLE,6+(COLUMN()-8)/2,FALSE)/((COLUMN()-8)/2)</f>
        <v>-9</v>
      </c>
      <c r="M37" s="39">
        <f t="shared" ref="M37:M39" ca="1" si="14">POWER(L37-(1-COIN2_POUT),2)*VLOOKUP($I37,PAYTABLE,9+(COLUMN()-9)/2*10,FALSE)</f>
        <v>5.024884270651829E-2</v>
      </c>
      <c r="N37" s="38">
        <f t="shared" ref="N37:N47" ca="1" si="15">1-VLOOKUP($I37,PAYTABLE,6+(COLUMN()-8)/2,FALSE)/((COLUMN()-8)/2)</f>
        <v>-9</v>
      </c>
      <c r="O37" s="39">
        <f t="shared" ref="O37:O39" ca="1" si="16">POWER(N37-(1-COIN2_POUT),2)*VLOOKUP($I37,PAYTABLE,9+(COLUMN()-9)/2*10,FALSE)</f>
        <v>5.024884270651829E-2</v>
      </c>
      <c r="P37" s="38">
        <f t="shared" ref="P37:P47" ca="1" si="17">1-VLOOKUP($I37,PAYTABLE,6+(COLUMN()-8)/2,FALSE)/((COLUMN()-8)/2)</f>
        <v>-9</v>
      </c>
      <c r="Q37" s="39">
        <f t="shared" ref="Q37:Q39" ca="1" si="18">POWER(P37-(1-COIN2_POUT),2)*VLOOKUP($I37,PAYTABLE,9+(COLUMN()-9)/2*10,FALSE)</f>
        <v>5.024884270651829E-2</v>
      </c>
      <c r="R37" s="38">
        <f t="shared" ref="R37:R47" ca="1" si="19">1-VLOOKUP($I37,PAYTABLE,6+(COLUMN()-8)/2,FALSE)/((COLUMN()-8)/2)</f>
        <v>-9</v>
      </c>
      <c r="S37" s="34">
        <f t="shared" ref="S37:S39" ca="1" si="20">POWER(R37-(1-COIN2_POUT),2)*VLOOKUP($I37,PAYTABLE,9+(COLUMN()-9)/2*10,FALSE)</f>
        <v>5.024884270651829E-2</v>
      </c>
    </row>
    <row r="38" spans="2:19" x14ac:dyDescent="0.2">
      <c r="B38" s="31">
        <v>1000000</v>
      </c>
      <c r="C38" s="32">
        <f ca="1">100*(COIN5_POUT-$G$4/SQRT(B38))</f>
        <v>93.046594344821955</v>
      </c>
      <c r="D38" s="32">
        <f ca="1">100*(COIN5_POUT+$G$4/SQRT(B38))</f>
        <v>97.696089065822576</v>
      </c>
      <c r="E38" s="33"/>
      <c r="F38" s="32">
        <f ca="1">100*(COIN5_POUT-$E$5/SQRT(B38))</f>
        <v>91.731038307812497</v>
      </c>
      <c r="G38" s="40">
        <f ca="1">100*(COIN5_POUT+$G$5/SQRT(B38))</f>
        <v>99.006401214468212</v>
      </c>
      <c r="I38" s="31" t="str">
        <f t="shared" ca="1" si="0"/>
        <v>2001-W34</v>
      </c>
      <c r="J38" s="38">
        <f t="shared" ca="1" si="11"/>
        <v>-4</v>
      </c>
      <c r="K38" s="39">
        <f t="shared" ca="1" si="12"/>
        <v>6.9901988370232634E-2</v>
      </c>
      <c r="L38" s="38">
        <f t="shared" ca="1" si="13"/>
        <v>-4</v>
      </c>
      <c r="M38" s="39">
        <f t="shared" ca="1" si="14"/>
        <v>6.9272808388837384E-2</v>
      </c>
      <c r="N38" s="38">
        <f t="shared" ca="1" si="15"/>
        <v>-4</v>
      </c>
      <c r="O38" s="39">
        <f t="shared" ca="1" si="16"/>
        <v>6.9272808388837384E-2</v>
      </c>
      <c r="P38" s="38">
        <f t="shared" ca="1" si="17"/>
        <v>-4</v>
      </c>
      <c r="Q38" s="39">
        <f t="shared" ca="1" si="18"/>
        <v>6.9272808388837384E-2</v>
      </c>
      <c r="R38" s="38">
        <f t="shared" ca="1" si="19"/>
        <v>-4</v>
      </c>
      <c r="S38" s="34">
        <f t="shared" ca="1" si="20"/>
        <v>6.9272808388837384E-2</v>
      </c>
    </row>
    <row r="39" spans="2:19" x14ac:dyDescent="0.2">
      <c r="B39" s="35">
        <v>10000000</v>
      </c>
      <c r="C39" s="36">
        <f ca="1">100*(COIN5_POUT-$G$4/SQRT(B39))</f>
        <v>94.63619204095771</v>
      </c>
      <c r="D39" s="36">
        <f ca="1">100*(COIN5_POUT+$G$4/SQRT(B39))</f>
        <v>96.106491369686822</v>
      </c>
      <c r="E39" s="37"/>
      <c r="F39" s="36">
        <f ca="1">100*(COIN5_POUT-$E$5/SQRT(B39))</f>
        <v>94.220176694304243</v>
      </c>
      <c r="G39" s="41">
        <f ca="1">100*(COIN5_POUT+$G$5/SQRT(B39))</f>
        <v>96.520848453237747</v>
      </c>
      <c r="I39" s="31" t="str">
        <f t="shared" ca="1" si="0"/>
        <v>2001-W35</v>
      </c>
      <c r="J39" s="38">
        <f t="shared" ca="1" si="11"/>
        <v>-4</v>
      </c>
      <c r="K39" s="39">
        <f t="shared" ca="1" si="12"/>
        <v>1.0298277647317108E-2</v>
      </c>
      <c r="L39" s="38">
        <f t="shared" ca="1" si="13"/>
        <v>-4</v>
      </c>
      <c r="M39" s="39">
        <f t="shared" ca="1" si="14"/>
        <v>1.0205584001691123E-2</v>
      </c>
      <c r="N39" s="38">
        <f t="shared" ca="1" si="15"/>
        <v>-4</v>
      </c>
      <c r="O39" s="39">
        <f t="shared" ca="1" si="16"/>
        <v>1.0205584001691123E-2</v>
      </c>
      <c r="P39" s="38">
        <f t="shared" ca="1" si="17"/>
        <v>-4</v>
      </c>
      <c r="Q39" s="39">
        <f t="shared" ca="1" si="18"/>
        <v>1.0205584001691123E-2</v>
      </c>
      <c r="R39" s="38">
        <f t="shared" ca="1" si="19"/>
        <v>-4</v>
      </c>
      <c r="S39" s="34">
        <f t="shared" ca="1" si="20"/>
        <v>1.0205584001691123E-2</v>
      </c>
    </row>
    <row r="40" spans="2:19" x14ac:dyDescent="0.2">
      <c r="B40" s="38"/>
      <c r="C40" s="32"/>
      <c r="D40" s="32"/>
      <c r="E40" s="33"/>
      <c r="F40" s="32"/>
      <c r="G40" s="32"/>
      <c r="I40" s="31" t="str">
        <f t="shared" ca="1" si="0"/>
        <v>2001-W36</v>
      </c>
      <c r="J40" s="38">
        <f t="shared" ca="1" si="11"/>
        <v>-4</v>
      </c>
      <c r="K40" s="39">
        <f t="shared" ca="1" si="12"/>
        <v>0.26529399524157782</v>
      </c>
      <c r="L40" s="38">
        <f t="shared" ca="1" si="13"/>
        <v>-4</v>
      </c>
      <c r="M40" s="39">
        <f t="shared" ref="M40:M47" ca="1" si="21">POWER(L40-(1-COIN2_POUT),2)*VLOOKUP($I40,PAYTABLE,9+(COLUMN()-9)/2*10,FALSE)</f>
        <v>0.26290611365362793</v>
      </c>
      <c r="N40" s="38">
        <f t="shared" ca="1" si="15"/>
        <v>-4</v>
      </c>
      <c r="O40" s="39">
        <f t="shared" ref="O40:O47" ca="1" si="22">POWER(N40-(1-COIN2_POUT),2)*VLOOKUP($I40,PAYTABLE,9+(COLUMN()-9)/2*10,FALSE)</f>
        <v>0.26290611365362793</v>
      </c>
      <c r="P40" s="38">
        <f t="shared" ca="1" si="17"/>
        <v>-4</v>
      </c>
      <c r="Q40" s="39">
        <f t="shared" ref="Q40:Q47" ca="1" si="23">POWER(P40-(1-COIN2_POUT),2)*VLOOKUP($I40,PAYTABLE,9+(COLUMN()-9)/2*10,FALSE)</f>
        <v>0.26290611365362793</v>
      </c>
      <c r="R40" s="38">
        <f t="shared" ca="1" si="19"/>
        <v>-4</v>
      </c>
      <c r="S40" s="34">
        <f t="shared" ref="S40:S47" ca="1" si="24">POWER(R40-(1-COIN2_POUT),2)*VLOOKUP($I40,PAYTABLE,9+(COLUMN()-9)/2*10,FALSE)</f>
        <v>0.26290611365362793</v>
      </c>
    </row>
    <row r="41" spans="2:19" x14ac:dyDescent="0.2">
      <c r="B41" s="38"/>
      <c r="C41" s="32"/>
      <c r="D41" s="32"/>
      <c r="E41" s="33"/>
      <c r="F41" s="32"/>
      <c r="G41" s="32"/>
      <c r="I41" s="31" t="str">
        <f t="shared" ca="1" si="0"/>
        <v>2001-W37</v>
      </c>
      <c r="J41" s="38">
        <f t="shared" ca="1" si="11"/>
        <v>-3</v>
      </c>
      <c r="K41" s="39">
        <f t="shared" ca="1" si="12"/>
        <v>1.7013117788087152E-2</v>
      </c>
      <c r="L41" s="38">
        <f t="shared" ca="1" si="13"/>
        <v>-3</v>
      </c>
      <c r="M41" s="39">
        <f t="shared" ca="1" si="21"/>
        <v>1.6957879842043749E-2</v>
      </c>
      <c r="N41" s="38">
        <f t="shared" ca="1" si="15"/>
        <v>-3</v>
      </c>
      <c r="O41" s="39">
        <f t="shared" ca="1" si="22"/>
        <v>1.6957879842043749E-2</v>
      </c>
      <c r="P41" s="38">
        <f t="shared" ca="1" si="17"/>
        <v>-3</v>
      </c>
      <c r="Q41" s="39">
        <f t="shared" ca="1" si="23"/>
        <v>1.6957879842043749E-2</v>
      </c>
      <c r="R41" s="38">
        <f t="shared" ca="1" si="19"/>
        <v>-3</v>
      </c>
      <c r="S41" s="34">
        <f t="shared" ca="1" si="24"/>
        <v>1.6957879842043749E-2</v>
      </c>
    </row>
    <row r="42" spans="2:19" x14ac:dyDescent="0.2">
      <c r="B42" s="38"/>
      <c r="C42" s="32"/>
      <c r="D42" s="32"/>
      <c r="E42" s="33"/>
      <c r="F42" s="32"/>
      <c r="G42" s="32"/>
      <c r="I42" s="31" t="str">
        <f t="shared" ca="1" si="0"/>
        <v>2001-W38</v>
      </c>
      <c r="J42" s="38">
        <f t="shared" ca="1" si="11"/>
        <v>-3</v>
      </c>
      <c r="K42" s="39">
        <f t="shared" ca="1" si="12"/>
        <v>0.14858618155534631</v>
      </c>
      <c r="L42" s="38">
        <f t="shared" ca="1" si="13"/>
        <v>-3</v>
      </c>
      <c r="M42" s="39">
        <f t="shared" ca="1" si="21"/>
        <v>0.14682147049388528</v>
      </c>
      <c r="N42" s="38">
        <f t="shared" ca="1" si="15"/>
        <v>-3</v>
      </c>
      <c r="O42" s="39">
        <f t="shared" ca="1" si="22"/>
        <v>0.14682147049388528</v>
      </c>
      <c r="P42" s="38">
        <f t="shared" ca="1" si="17"/>
        <v>-3</v>
      </c>
      <c r="Q42" s="39">
        <f t="shared" ca="1" si="23"/>
        <v>0.14682147049388528</v>
      </c>
      <c r="R42" s="38">
        <f t="shared" ca="1" si="19"/>
        <v>-3</v>
      </c>
      <c r="S42" s="34">
        <f t="shared" ca="1" si="24"/>
        <v>0.14682147049388528</v>
      </c>
    </row>
    <row r="43" spans="2:19" x14ac:dyDescent="0.2">
      <c r="B43" s="38"/>
      <c r="C43" s="32"/>
      <c r="D43" s="32"/>
      <c r="E43" s="33"/>
      <c r="F43" s="32"/>
      <c r="G43" s="32"/>
      <c r="I43" s="31" t="str">
        <f t="shared" ca="1" si="0"/>
        <v>2001-W39</v>
      </c>
      <c r="J43" s="38">
        <f t="shared" ca="1" si="11"/>
        <v>-2</v>
      </c>
      <c r="K43" s="39">
        <f t="shared" ca="1" si="12"/>
        <v>6.8064863815528565E-2</v>
      </c>
      <c r="L43" s="38">
        <f t="shared" ca="1" si="13"/>
        <v>-2</v>
      </c>
      <c r="M43" s="39">
        <f t="shared" ca="1" si="21"/>
        <v>0.1003154060368745</v>
      </c>
      <c r="N43" s="38">
        <f t="shared" ca="1" si="15"/>
        <v>-2</v>
      </c>
      <c r="O43" s="39">
        <f t="shared" ca="1" si="22"/>
        <v>0.1003154060368745</v>
      </c>
      <c r="P43" s="38">
        <f t="shared" ca="1" si="17"/>
        <v>-2</v>
      </c>
      <c r="Q43" s="39">
        <f t="shared" ca="1" si="23"/>
        <v>0.1003154060368745</v>
      </c>
      <c r="R43" s="38">
        <f t="shared" ca="1" si="19"/>
        <v>-2</v>
      </c>
      <c r="S43" s="34">
        <f t="shared" ca="1" si="24"/>
        <v>0.1003154060368745</v>
      </c>
    </row>
    <row r="44" spans="2:19" x14ac:dyDescent="0.2">
      <c r="I44" s="31" t="str">
        <f t="shared" ca="1" si="0"/>
        <v>2001-W40</v>
      </c>
      <c r="J44" s="38">
        <f t="shared" ca="1" si="11"/>
        <v>-1</v>
      </c>
      <c r="K44" s="39">
        <f t="shared" ca="1" si="12"/>
        <v>2.8508509542230387E-2</v>
      </c>
      <c r="L44" s="38">
        <f t="shared" ca="1" si="13"/>
        <v>-1</v>
      </c>
      <c r="M44" s="39">
        <f t="shared" ca="1" si="21"/>
        <v>1.8232184344883162E-2</v>
      </c>
      <c r="N44" s="38">
        <f t="shared" ca="1" si="15"/>
        <v>-1</v>
      </c>
      <c r="O44" s="39">
        <f t="shared" ca="1" si="22"/>
        <v>2.7570620228847709E-2</v>
      </c>
      <c r="P44" s="38">
        <f t="shared" ca="1" si="17"/>
        <v>-1</v>
      </c>
      <c r="Q44" s="39">
        <f t="shared" ca="1" si="23"/>
        <v>3.6760826971796945E-2</v>
      </c>
      <c r="R44" s="38">
        <f t="shared" ca="1" si="19"/>
        <v>-1</v>
      </c>
      <c r="S44" s="34">
        <f t="shared" ca="1" si="24"/>
        <v>3.6760826971796945E-2</v>
      </c>
    </row>
    <row r="45" spans="2:19" x14ac:dyDescent="0.2">
      <c r="I45" s="31" t="str">
        <f t="shared" ca="1" si="0"/>
        <v>2001-W41</v>
      </c>
      <c r="J45" s="38">
        <f t="shared" ca="1" si="11"/>
        <v>-1</v>
      </c>
      <c r="K45" s="39">
        <f t="shared" ca="1" si="12"/>
        <v>2.6664461125940283E-2</v>
      </c>
      <c r="L45" s="38">
        <f t="shared" ca="1" si="13"/>
        <v>-1</v>
      </c>
      <c r="M45" s="39">
        <f t="shared" ca="1" si="21"/>
        <v>2.5948205958828571E-2</v>
      </c>
      <c r="N45" s="38">
        <f t="shared" ca="1" si="15"/>
        <v>-1</v>
      </c>
      <c r="O45" s="39">
        <f t="shared" ca="1" si="22"/>
        <v>2.5948205958828571E-2</v>
      </c>
      <c r="P45" s="38">
        <f t="shared" ca="1" si="17"/>
        <v>-1</v>
      </c>
      <c r="Q45" s="39">
        <f t="shared" ca="1" si="23"/>
        <v>2.679820743933824E-2</v>
      </c>
      <c r="R45" s="38">
        <f t="shared" ca="1" si="19"/>
        <v>-1</v>
      </c>
      <c r="S45" s="34">
        <f t="shared" ca="1" si="24"/>
        <v>2.679820743933824E-2</v>
      </c>
    </row>
    <row r="46" spans="2:19" x14ac:dyDescent="0.2">
      <c r="I46" s="31" t="str">
        <f t="shared" ca="1" si="0"/>
        <v>2001-W42</v>
      </c>
      <c r="J46" s="38">
        <f t="shared" ca="1" si="11"/>
        <v>-1</v>
      </c>
      <c r="K46" s="39">
        <f t="shared" ca="1" si="12"/>
        <v>2.1936991549632925E-3</v>
      </c>
      <c r="L46" s="38">
        <f t="shared" ca="1" si="13"/>
        <v>-1</v>
      </c>
      <c r="M46" s="39">
        <f t="shared" ca="1" si="21"/>
        <v>2.1400582234085419E-3</v>
      </c>
      <c r="N46" s="38">
        <f t="shared" ca="1" si="15"/>
        <v>-1</v>
      </c>
      <c r="O46" s="39">
        <f t="shared" ca="1" si="22"/>
        <v>2.1400582234085419E-3</v>
      </c>
      <c r="P46" s="38">
        <f t="shared" ca="1" si="17"/>
        <v>-1</v>
      </c>
      <c r="Q46" s="39">
        <f t="shared" ca="1" si="23"/>
        <v>2.1400582234085419E-3</v>
      </c>
      <c r="R46" s="38">
        <f t="shared" ca="1" si="19"/>
        <v>-1</v>
      </c>
      <c r="S46" s="34">
        <f t="shared" ca="1" si="24"/>
        <v>2.1400582234085419E-3</v>
      </c>
    </row>
    <row r="47" spans="2:19" x14ac:dyDescent="0.2">
      <c r="I47" s="31" t="str">
        <f t="shared" ca="1" si="0"/>
        <v>2001-W43</v>
      </c>
      <c r="J47" s="38">
        <f t="shared" ca="1" si="11"/>
        <v>1</v>
      </c>
      <c r="K47" s="39">
        <f t="shared" ca="1" si="12"/>
        <v>0</v>
      </c>
      <c r="L47" s="38">
        <f t="shared" ca="1" si="13"/>
        <v>1</v>
      </c>
      <c r="M47" s="39">
        <f t="shared" ca="1" si="21"/>
        <v>0</v>
      </c>
      <c r="N47" s="38">
        <f t="shared" ca="1" si="15"/>
        <v>1</v>
      </c>
      <c r="O47" s="39">
        <f t="shared" ca="1" si="22"/>
        <v>0</v>
      </c>
      <c r="P47" s="38">
        <f t="shared" ca="1" si="17"/>
        <v>1</v>
      </c>
      <c r="Q47" s="39">
        <f t="shared" ca="1" si="23"/>
        <v>0</v>
      </c>
      <c r="R47" s="38">
        <f t="shared" ca="1" si="19"/>
        <v>-1</v>
      </c>
      <c r="S47" s="34">
        <f t="shared" ca="1" si="24"/>
        <v>9.4866650249798568E-3</v>
      </c>
    </row>
    <row r="48" spans="2:19" x14ac:dyDescent="0.2">
      <c r="I48" s="27"/>
      <c r="J48" s="28">
        <v>1</v>
      </c>
      <c r="K48" s="29">
        <f>POWER(J48-(1-COIN1_POUT),2)*(1-COIN1_HTFQ)</f>
        <v>0.6746857150620994</v>
      </c>
      <c r="L48" s="28">
        <v>1</v>
      </c>
      <c r="M48" s="29">
        <f>POWER(L48-(1-COIN2_POUT),2)*(1-COIN2_HTFQ)</f>
        <v>0.70297175249865151</v>
      </c>
      <c r="N48" s="28">
        <v>1</v>
      </c>
      <c r="O48" s="29">
        <f>POWER(N48-(1-COIN3_POUT),2)*(1-COIN3_HTFQ)</f>
        <v>0.72580123621828607</v>
      </c>
      <c r="P48" s="28">
        <v>1</v>
      </c>
      <c r="Q48" s="29">
        <f>POWER(P48-(1-COIN4_POUT),2)*(1-COIN4_HTFQ)</f>
        <v>0.7446281002258186</v>
      </c>
      <c r="R48" s="28">
        <v>1</v>
      </c>
      <c r="S48" s="30">
        <f>POWER(R48-(1-COIN5_POUT),2)*(1-COIN5_HTFQ)</f>
        <v>0.77094006513314528</v>
      </c>
    </row>
    <row r="49" spans="9:19" x14ac:dyDescent="0.2">
      <c r="I49" s="19"/>
      <c r="J49" s="23"/>
      <c r="K49" s="20">
        <f ca="1">SUM(K5:K48)</f>
        <v>193.01689944583543</v>
      </c>
      <c r="L49" s="20"/>
      <c r="M49" s="20">
        <f ca="1">SUM(M5:M48)</f>
        <v>197.77680909543042</v>
      </c>
      <c r="N49" s="20"/>
      <c r="O49" s="20">
        <f ca="1">SUM(O5:O48)</f>
        <v>199.0837213196499</v>
      </c>
      <c r="P49" s="20"/>
      <c r="Q49" s="20">
        <f ca="1">SUM(Q5:Q48)</f>
        <v>197.49243956221147</v>
      </c>
      <c r="R49" s="20"/>
      <c r="S49" s="21">
        <f ca="1">SUM(S5:S48)</f>
        <v>198.51057080452452</v>
      </c>
    </row>
    <row r="50" spans="9:19" x14ac:dyDescent="0.2">
      <c r="I50" s="16"/>
      <c r="J50" s="16"/>
    </row>
    <row r="51" spans="9:19" x14ac:dyDescent="0.2">
      <c r="I51" s="16"/>
      <c r="J51" s="16"/>
    </row>
  </sheetData>
  <mergeCells count="15">
    <mergeCell ref="B16:G16"/>
    <mergeCell ref="B22:G22"/>
    <mergeCell ref="B28:G28"/>
    <mergeCell ref="B34:G34"/>
    <mergeCell ref="I2:S2"/>
    <mergeCell ref="P3:Q3"/>
    <mergeCell ref="R3:S3"/>
    <mergeCell ref="B2:G2"/>
    <mergeCell ref="J3:K3"/>
    <mergeCell ref="L3:M3"/>
    <mergeCell ref="N3:O3"/>
    <mergeCell ref="B7:G7"/>
    <mergeCell ref="B10:G10"/>
    <mergeCell ref="C8:D8"/>
    <mergeCell ref="F8:G8"/>
  </mergeCells>
  <pageMargins left="0.7" right="0.7" top="0.75" bottom="0.75" header="0.3" footer="0.3"/>
  <ignoredErrors>
    <ignoredError sqref="R48 R5:R39 K5:Q3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22"/>
  <sheetViews>
    <sheetView workbookViewId="0">
      <selection activeCell="B2" sqref="B2:C2"/>
    </sheetView>
  </sheetViews>
  <sheetFormatPr defaultColWidth="4.7109375" defaultRowHeight="12.75" x14ac:dyDescent="0.2"/>
  <cols>
    <col min="1" max="1" width="4.7109375" style="1"/>
    <col min="2" max="2" width="13.140625" style="1" customWidth="1"/>
    <col min="3" max="3" width="9.42578125" style="1" bestFit="1" customWidth="1"/>
    <col min="4" max="4" width="8.140625" style="1" customWidth="1"/>
    <col min="5" max="9" width="7.5703125" style="1" bestFit="1" customWidth="1"/>
    <col min="10" max="10" width="4.7109375" style="1"/>
    <col min="11" max="11" width="11.28515625" style="1" bestFit="1" customWidth="1"/>
    <col min="12" max="12" width="5" style="1" bestFit="1" customWidth="1"/>
    <col min="13" max="13" width="8" style="1" bestFit="1" customWidth="1"/>
    <col min="14" max="15" width="4.7109375" style="1"/>
    <col min="16" max="16" width="6.5703125" style="1" bestFit="1" customWidth="1"/>
    <col min="17" max="16384" width="4.7109375" style="1"/>
  </cols>
  <sheetData>
    <row r="1" spans="2:11" x14ac:dyDescent="0.2">
      <c r="B1" s="1" t="s">
        <v>218</v>
      </c>
    </row>
    <row r="2" spans="2:11" x14ac:dyDescent="0.2">
      <c r="B2" s="137" t="s">
        <v>110</v>
      </c>
      <c r="C2" s="139"/>
    </row>
    <row r="3" spans="2:11" x14ac:dyDescent="0.2">
      <c r="B3" s="103" t="s">
        <v>4</v>
      </c>
      <c r="C3" s="98" t="s">
        <v>111</v>
      </c>
    </row>
    <row r="4" spans="2:11" x14ac:dyDescent="0.2">
      <c r="B4" s="104" t="s">
        <v>101</v>
      </c>
      <c r="C4" s="99" t="s">
        <v>132</v>
      </c>
      <c r="D4" s="97"/>
    </row>
    <row r="6" spans="2:11" x14ac:dyDescent="0.2">
      <c r="B6" s="137" t="s">
        <v>115</v>
      </c>
      <c r="C6" s="138"/>
      <c r="D6" s="138"/>
      <c r="E6" s="138"/>
      <c r="F6" s="138"/>
      <c r="G6" s="138"/>
      <c r="H6" s="138"/>
      <c r="I6" s="139"/>
    </row>
    <row r="7" spans="2:11" x14ac:dyDescent="0.2">
      <c r="B7" s="180" t="s">
        <v>133</v>
      </c>
      <c r="C7" s="181"/>
      <c r="D7" s="181"/>
      <c r="E7" s="182">
        <v>6</v>
      </c>
      <c r="F7" s="182"/>
      <c r="G7" s="182"/>
      <c r="H7" s="182"/>
      <c r="I7" s="183"/>
    </row>
    <row r="8" spans="2:11" x14ac:dyDescent="0.2">
      <c r="B8" s="180" t="s">
        <v>215</v>
      </c>
      <c r="C8" s="181"/>
      <c r="D8" s="181"/>
      <c r="E8" s="182">
        <v>18</v>
      </c>
      <c r="F8" s="182"/>
      <c r="G8" s="182"/>
      <c r="H8" s="182"/>
      <c r="I8" s="183"/>
    </row>
    <row r="9" spans="2:11" x14ac:dyDescent="0.2">
      <c r="B9" s="180" t="s">
        <v>116</v>
      </c>
      <c r="C9" s="181"/>
      <c r="D9" s="181"/>
      <c r="E9" s="182">
        <f>COMBIN(E8,SG5001_COUNT)</f>
        <v>18564.000000000004</v>
      </c>
      <c r="F9" s="182"/>
      <c r="G9" s="182"/>
      <c r="H9" s="182"/>
      <c r="I9" s="183"/>
      <c r="K9" s="123"/>
    </row>
    <row r="10" spans="2:11" x14ac:dyDescent="0.2">
      <c r="B10" s="180"/>
      <c r="C10" s="181"/>
      <c r="D10" s="181"/>
      <c r="E10" s="101" t="s">
        <v>66</v>
      </c>
      <c r="F10" s="101" t="s">
        <v>67</v>
      </c>
      <c r="G10" s="101" t="s">
        <v>68</v>
      </c>
      <c r="H10" s="101" t="s">
        <v>69</v>
      </c>
      <c r="I10" s="102" t="s">
        <v>70</v>
      </c>
    </row>
    <row r="11" spans="2:11" x14ac:dyDescent="0.2">
      <c r="B11" s="184" t="s">
        <v>123</v>
      </c>
      <c r="C11" s="185"/>
      <c r="D11" s="185"/>
      <c r="E11" s="67">
        <f>SG5001_COUNT*D22</f>
        <v>50</v>
      </c>
      <c r="F11" s="67">
        <f>SG5001_COUNT*E22</f>
        <v>100</v>
      </c>
      <c r="G11" s="67">
        <f>SG5001_COUNT*F22</f>
        <v>150</v>
      </c>
      <c r="H11" s="67">
        <f>SG5001_COUNT*G22</f>
        <v>200</v>
      </c>
      <c r="I11" s="43">
        <f>SG5001_COUNT*H22</f>
        <v>250</v>
      </c>
    </row>
    <row r="13" spans="2:11" x14ac:dyDescent="0.2">
      <c r="B13" s="186" t="s">
        <v>134</v>
      </c>
      <c r="C13" s="187"/>
      <c r="D13" s="187"/>
      <c r="E13" s="187"/>
      <c r="F13" s="187"/>
      <c r="G13" s="187"/>
      <c r="H13" s="188"/>
    </row>
    <row r="14" spans="2:11" ht="15" customHeight="1" x14ac:dyDescent="0.2">
      <c r="B14" s="171" t="s">
        <v>52</v>
      </c>
      <c r="C14" s="172"/>
      <c r="D14" s="172"/>
      <c r="E14" s="172"/>
      <c r="F14" s="172"/>
      <c r="G14" s="172"/>
      <c r="H14" s="173"/>
    </row>
    <row r="15" spans="2:11" x14ac:dyDescent="0.2">
      <c r="B15" s="5" t="s">
        <v>186</v>
      </c>
      <c r="C15" s="6" t="s">
        <v>90</v>
      </c>
      <c r="D15" s="6" t="s">
        <v>66</v>
      </c>
      <c r="E15" s="6" t="s">
        <v>67</v>
      </c>
      <c r="F15" s="6" t="s">
        <v>68</v>
      </c>
      <c r="G15" s="6" t="s">
        <v>69</v>
      </c>
      <c r="H15" s="8" t="s">
        <v>70</v>
      </c>
    </row>
    <row r="16" spans="2:11" x14ac:dyDescent="0.2">
      <c r="B16" s="44" t="s">
        <v>188</v>
      </c>
      <c r="C16" s="33" t="s">
        <v>177</v>
      </c>
      <c r="D16" s="107">
        <v>1</v>
      </c>
      <c r="E16" s="107">
        <v>2</v>
      </c>
      <c r="F16" s="107">
        <v>3</v>
      </c>
      <c r="G16" s="107">
        <v>4</v>
      </c>
      <c r="H16" s="122">
        <v>5</v>
      </c>
    </row>
    <row r="17" spans="2:16" x14ac:dyDescent="0.2">
      <c r="B17" s="44" t="s">
        <v>189</v>
      </c>
      <c r="C17" s="33" t="s">
        <v>178</v>
      </c>
      <c r="D17" s="107">
        <v>2</v>
      </c>
      <c r="E17" s="107">
        <v>4</v>
      </c>
      <c r="F17" s="107">
        <v>6</v>
      </c>
      <c r="G17" s="107">
        <v>8</v>
      </c>
      <c r="H17" s="122">
        <v>10</v>
      </c>
      <c r="P17" s="124"/>
    </row>
    <row r="18" spans="2:16" x14ac:dyDescent="0.2">
      <c r="B18" s="44" t="s">
        <v>190</v>
      </c>
      <c r="C18" s="33" t="s">
        <v>179</v>
      </c>
      <c r="D18" s="107">
        <v>3</v>
      </c>
      <c r="E18" s="107">
        <v>6</v>
      </c>
      <c r="F18" s="107">
        <v>9</v>
      </c>
      <c r="G18" s="107">
        <v>12</v>
      </c>
      <c r="H18" s="122">
        <v>15</v>
      </c>
    </row>
    <row r="19" spans="2:16" x14ac:dyDescent="0.2">
      <c r="B19" s="44" t="s">
        <v>191</v>
      </c>
      <c r="C19" s="33" t="s">
        <v>180</v>
      </c>
      <c r="D19" s="107">
        <v>4</v>
      </c>
      <c r="E19" s="107">
        <v>8</v>
      </c>
      <c r="F19" s="107">
        <v>12</v>
      </c>
      <c r="G19" s="107">
        <v>16</v>
      </c>
      <c r="H19" s="122">
        <v>20</v>
      </c>
    </row>
    <row r="20" spans="2:16" x14ac:dyDescent="0.2">
      <c r="B20" s="44" t="s">
        <v>192</v>
      </c>
      <c r="C20" s="33" t="s">
        <v>181</v>
      </c>
      <c r="D20" s="107">
        <v>10</v>
      </c>
      <c r="E20" s="107">
        <v>20</v>
      </c>
      <c r="F20" s="107">
        <v>30</v>
      </c>
      <c r="G20" s="107">
        <v>40</v>
      </c>
      <c r="H20" s="122">
        <v>50</v>
      </c>
    </row>
    <row r="21" spans="2:16" x14ac:dyDescent="0.2">
      <c r="B21" s="44" t="s">
        <v>193</v>
      </c>
      <c r="C21" s="33" t="s">
        <v>182</v>
      </c>
      <c r="D21" s="107">
        <v>30</v>
      </c>
      <c r="E21" s="107">
        <v>60</v>
      </c>
      <c r="F21" s="107">
        <v>90</v>
      </c>
      <c r="G21" s="107">
        <v>120</v>
      </c>
      <c r="H21" s="122">
        <v>150</v>
      </c>
    </row>
    <row r="22" spans="2:16" x14ac:dyDescent="0.2">
      <c r="B22" s="178" t="s">
        <v>187</v>
      </c>
      <c r="C22" s="179"/>
      <c r="D22" s="125">
        <f>AVERAGE(D16:D21)</f>
        <v>8.3333333333333339</v>
      </c>
      <c r="E22" s="125">
        <f>AVERAGE(E16:E21)</f>
        <v>16.666666666666668</v>
      </c>
      <c r="F22" s="125">
        <f>AVERAGE(F16:F21)</f>
        <v>25</v>
      </c>
      <c r="G22" s="125">
        <f>AVERAGE(G16:G21)</f>
        <v>33.333333333333336</v>
      </c>
      <c r="H22" s="126">
        <f>AVERAGE(H16:H21)</f>
        <v>41.666666666666664</v>
      </c>
    </row>
  </sheetData>
  <mergeCells count="13">
    <mergeCell ref="B22:C22"/>
    <mergeCell ref="B9:D9"/>
    <mergeCell ref="E9:I9"/>
    <mergeCell ref="B2:C2"/>
    <mergeCell ref="B6:I6"/>
    <mergeCell ref="B7:D7"/>
    <mergeCell ref="E7:I7"/>
    <mergeCell ref="B10:D10"/>
    <mergeCell ref="B11:D11"/>
    <mergeCell ref="B13:H13"/>
    <mergeCell ref="B14:H14"/>
    <mergeCell ref="B8:D8"/>
    <mergeCell ref="E8:I8"/>
  </mergeCells>
  <conditionalFormatting sqref="E11:I11">
    <cfRule type="cellIs" dxfId="4" priority="1" operator="notEqual">
      <formula>VLOOKUP("SECG-5001",OFFSET(PAYTABLE, 0, 4), COLUMN() - 2)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16"/>
  <sheetViews>
    <sheetView workbookViewId="0">
      <selection activeCell="B2" sqref="B2:C2"/>
    </sheetView>
  </sheetViews>
  <sheetFormatPr defaultColWidth="4.7109375" defaultRowHeight="12.75" x14ac:dyDescent="0.2"/>
  <cols>
    <col min="1" max="1" width="4.7109375" style="1"/>
    <col min="2" max="2" width="10.28515625" style="1" bestFit="1" customWidth="1"/>
    <col min="3" max="3" width="9.42578125" style="1" bestFit="1" customWidth="1"/>
    <col min="4" max="4" width="7.85546875" style="1" bestFit="1" customWidth="1"/>
    <col min="5" max="9" width="7.5703125" style="1" bestFit="1" customWidth="1"/>
    <col min="10" max="14" width="9" style="1" bestFit="1" customWidth="1"/>
    <col min="15" max="15" width="9.42578125" style="1" customWidth="1"/>
    <col min="16" max="16384" width="4.7109375" style="1"/>
  </cols>
  <sheetData>
    <row r="1" spans="2:15" x14ac:dyDescent="0.2">
      <c r="B1" s="1" t="s">
        <v>217</v>
      </c>
    </row>
    <row r="2" spans="2:15" x14ac:dyDescent="0.2">
      <c r="B2" s="137" t="s">
        <v>110</v>
      </c>
      <c r="C2" s="139"/>
    </row>
    <row r="3" spans="2:15" x14ac:dyDescent="0.2">
      <c r="B3" s="103" t="s">
        <v>4</v>
      </c>
      <c r="C3" s="98" t="s">
        <v>117</v>
      </c>
    </row>
    <row r="4" spans="2:15" x14ac:dyDescent="0.2">
      <c r="B4" s="104" t="s">
        <v>101</v>
      </c>
      <c r="C4" s="99" t="s">
        <v>135</v>
      </c>
      <c r="D4" s="97"/>
    </row>
    <row r="6" spans="2:15" x14ac:dyDescent="0.2">
      <c r="B6" s="137" t="s">
        <v>115</v>
      </c>
      <c r="C6" s="138"/>
      <c r="D6" s="138"/>
      <c r="E6" s="138"/>
      <c r="F6" s="138"/>
      <c r="G6" s="138"/>
      <c r="H6" s="138"/>
      <c r="I6" s="139"/>
    </row>
    <row r="7" spans="2:15" x14ac:dyDescent="0.2">
      <c r="B7" s="180" t="s">
        <v>116</v>
      </c>
      <c r="C7" s="181"/>
      <c r="D7" s="181"/>
      <c r="E7" s="182">
        <f>SG5002_CYCLE</f>
        <v>2</v>
      </c>
      <c r="F7" s="182"/>
      <c r="G7" s="182"/>
      <c r="H7" s="182"/>
      <c r="I7" s="183"/>
    </row>
    <row r="8" spans="2:15" x14ac:dyDescent="0.2">
      <c r="B8" s="180"/>
      <c r="C8" s="181"/>
      <c r="D8" s="181"/>
      <c r="E8" s="101" t="s">
        <v>66</v>
      </c>
      <c r="F8" s="101" t="s">
        <v>67</v>
      </c>
      <c r="G8" s="101" t="s">
        <v>68</v>
      </c>
      <c r="H8" s="101" t="s">
        <v>69</v>
      </c>
      <c r="I8" s="102" t="s">
        <v>70</v>
      </c>
    </row>
    <row r="9" spans="2:15" x14ac:dyDescent="0.2">
      <c r="B9" s="184" t="s">
        <v>123</v>
      </c>
      <c r="C9" s="185"/>
      <c r="D9" s="185"/>
      <c r="E9" s="67">
        <f>K16/SG5002_CYCLE</f>
        <v>20</v>
      </c>
      <c r="F9" s="67">
        <f>L16/SG5002_CYCLE</f>
        <v>40</v>
      </c>
      <c r="G9" s="67">
        <f>M16/SG5002_CYCLE</f>
        <v>60</v>
      </c>
      <c r="H9" s="67">
        <f>N16/SG5002_CYCLE</f>
        <v>80</v>
      </c>
      <c r="I9" s="43">
        <f>O16/SG5002_CYCLE</f>
        <v>100</v>
      </c>
    </row>
    <row r="11" spans="2:15" x14ac:dyDescent="0.2">
      <c r="B11" s="137" t="s">
        <v>112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9"/>
    </row>
    <row r="12" spans="2:15" x14ac:dyDescent="0.2">
      <c r="B12" s="100"/>
      <c r="C12" s="101"/>
      <c r="D12" s="101"/>
      <c r="E12" s="101"/>
      <c r="F12" s="172" t="s">
        <v>52</v>
      </c>
      <c r="G12" s="172"/>
      <c r="H12" s="172"/>
      <c r="I12" s="172"/>
      <c r="J12" s="172"/>
      <c r="K12" s="172" t="s">
        <v>113</v>
      </c>
      <c r="L12" s="172"/>
      <c r="M12" s="172"/>
      <c r="N12" s="172"/>
      <c r="O12" s="173"/>
    </row>
    <row r="13" spans="2:15" x14ac:dyDescent="0.2">
      <c r="B13" s="5" t="s">
        <v>186</v>
      </c>
      <c r="C13" s="6" t="s">
        <v>90</v>
      </c>
      <c r="D13" s="6" t="s">
        <v>114</v>
      </c>
      <c r="E13" s="6" t="s">
        <v>53</v>
      </c>
      <c r="F13" s="6" t="s">
        <v>66</v>
      </c>
      <c r="G13" s="6" t="s">
        <v>67</v>
      </c>
      <c r="H13" s="6" t="s">
        <v>68</v>
      </c>
      <c r="I13" s="6" t="s">
        <v>69</v>
      </c>
      <c r="J13" s="6" t="s">
        <v>70</v>
      </c>
      <c r="K13" s="6" t="s">
        <v>66</v>
      </c>
      <c r="L13" s="6" t="s">
        <v>67</v>
      </c>
      <c r="M13" s="6" t="s">
        <v>68</v>
      </c>
      <c r="N13" s="6" t="s">
        <v>69</v>
      </c>
      <c r="O13" s="8" t="s">
        <v>70</v>
      </c>
    </row>
    <row r="14" spans="2:15" x14ac:dyDescent="0.2">
      <c r="B14" s="44" t="s">
        <v>194</v>
      </c>
      <c r="C14" s="33" t="s">
        <v>177</v>
      </c>
      <c r="D14" s="108">
        <v>1</v>
      </c>
      <c r="E14" s="90">
        <f>D14/SG5002_CYCLE</f>
        <v>0.5</v>
      </c>
      <c r="F14" s="107">
        <v>5</v>
      </c>
      <c r="G14" s="107">
        <v>10</v>
      </c>
      <c r="H14" s="107">
        <v>15</v>
      </c>
      <c r="I14" s="107">
        <v>20</v>
      </c>
      <c r="J14" s="107">
        <v>25</v>
      </c>
      <c r="K14" s="38">
        <f t="shared" ref="K14:O15" si="0">$D14*F14</f>
        <v>5</v>
      </c>
      <c r="L14" s="38">
        <f t="shared" si="0"/>
        <v>10</v>
      </c>
      <c r="M14" s="38">
        <f t="shared" si="0"/>
        <v>15</v>
      </c>
      <c r="N14" s="38">
        <f t="shared" si="0"/>
        <v>20</v>
      </c>
      <c r="O14" s="70">
        <f t="shared" si="0"/>
        <v>25</v>
      </c>
    </row>
    <row r="15" spans="2:15" x14ac:dyDescent="0.2">
      <c r="B15" s="44" t="s">
        <v>195</v>
      </c>
      <c r="C15" s="33" t="s">
        <v>178</v>
      </c>
      <c r="D15" s="108">
        <v>1</v>
      </c>
      <c r="E15" s="90">
        <f>D15/SG5002_CYCLE</f>
        <v>0.5</v>
      </c>
      <c r="F15" s="107">
        <v>35</v>
      </c>
      <c r="G15" s="107">
        <v>70</v>
      </c>
      <c r="H15" s="107">
        <v>105</v>
      </c>
      <c r="I15" s="107">
        <v>140</v>
      </c>
      <c r="J15" s="107">
        <v>175</v>
      </c>
      <c r="K15" s="38">
        <f t="shared" si="0"/>
        <v>35</v>
      </c>
      <c r="L15" s="38">
        <f t="shared" si="0"/>
        <v>70</v>
      </c>
      <c r="M15" s="38">
        <f t="shared" si="0"/>
        <v>105</v>
      </c>
      <c r="N15" s="38">
        <f t="shared" si="0"/>
        <v>140</v>
      </c>
      <c r="O15" s="70">
        <f t="shared" si="0"/>
        <v>175</v>
      </c>
    </row>
    <row r="16" spans="2:15" x14ac:dyDescent="0.2">
      <c r="B16" s="13"/>
      <c r="C16" s="14"/>
      <c r="D16" s="14">
        <f>SUM(D14:D15)</f>
        <v>2</v>
      </c>
      <c r="E16" s="105">
        <f>SUM(E14:E15)</f>
        <v>1</v>
      </c>
      <c r="F16" s="23"/>
      <c r="G16" s="23"/>
      <c r="H16" s="23"/>
      <c r="I16" s="23"/>
      <c r="J16" s="23"/>
      <c r="K16" s="23">
        <f>SUM(K14:K15)</f>
        <v>40</v>
      </c>
      <c r="L16" s="23">
        <f>SUM(L14:L15)</f>
        <v>80</v>
      </c>
      <c r="M16" s="23">
        <f>SUM(M14:M15)</f>
        <v>120</v>
      </c>
      <c r="N16" s="23">
        <f>SUM(N14:N15)</f>
        <v>160</v>
      </c>
      <c r="O16" s="106">
        <f>SUM(O14:O15)</f>
        <v>200</v>
      </c>
    </row>
  </sheetData>
  <mergeCells count="9">
    <mergeCell ref="B11:O11"/>
    <mergeCell ref="F12:J12"/>
    <mergeCell ref="K12:O12"/>
    <mergeCell ref="B9:D9"/>
    <mergeCell ref="B2:C2"/>
    <mergeCell ref="B6:I6"/>
    <mergeCell ref="B7:D7"/>
    <mergeCell ref="E7:I7"/>
    <mergeCell ref="B8:D8"/>
  </mergeCells>
  <conditionalFormatting sqref="E9:I9">
    <cfRule type="cellIs" dxfId="3" priority="1" operator="notEqual">
      <formula>VLOOKUP("SECG-5002",OFFSET(PAYTABLE, 0, 4), COLUMN() - 2)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18"/>
  <sheetViews>
    <sheetView workbookViewId="0"/>
  </sheetViews>
  <sheetFormatPr defaultColWidth="4.7109375" defaultRowHeight="12.75" x14ac:dyDescent="0.2"/>
  <cols>
    <col min="1" max="1" width="4.7109375" style="1"/>
    <col min="2" max="2" width="10.28515625" style="1" bestFit="1" customWidth="1"/>
    <col min="3" max="3" width="9.42578125" style="1" bestFit="1" customWidth="1"/>
    <col min="4" max="5" width="7.85546875" style="1" bestFit="1" customWidth="1"/>
    <col min="6" max="9" width="7.5703125" style="1" bestFit="1" customWidth="1"/>
    <col min="10" max="14" width="9" style="1" bestFit="1" customWidth="1"/>
    <col min="15" max="15" width="9.28515625" style="1" customWidth="1"/>
    <col min="16" max="16384" width="4.7109375" style="1"/>
  </cols>
  <sheetData>
    <row r="1" spans="2:15" x14ac:dyDescent="0.2">
      <c r="B1" s="1" t="s">
        <v>219</v>
      </c>
    </row>
    <row r="2" spans="2:15" x14ac:dyDescent="0.2">
      <c r="B2" s="137" t="s">
        <v>110</v>
      </c>
      <c r="C2" s="139"/>
    </row>
    <row r="3" spans="2:15" x14ac:dyDescent="0.2">
      <c r="B3" s="103" t="s">
        <v>4</v>
      </c>
      <c r="C3" s="98" t="s">
        <v>118</v>
      </c>
    </row>
    <row r="4" spans="2:15" x14ac:dyDescent="0.2">
      <c r="B4" s="104" t="s">
        <v>101</v>
      </c>
      <c r="C4" s="99" t="s">
        <v>119</v>
      </c>
      <c r="D4" s="97"/>
    </row>
    <row r="6" spans="2:15" x14ac:dyDescent="0.2">
      <c r="B6" s="137" t="s">
        <v>115</v>
      </c>
      <c r="C6" s="138"/>
      <c r="D6" s="138"/>
      <c r="E6" s="138"/>
      <c r="F6" s="138"/>
      <c r="G6" s="138"/>
      <c r="H6" s="138"/>
      <c r="I6" s="139"/>
    </row>
    <row r="7" spans="2:15" x14ac:dyDescent="0.2">
      <c r="B7" s="180" t="s">
        <v>116</v>
      </c>
      <c r="C7" s="181"/>
      <c r="D7" s="181"/>
      <c r="E7" s="182">
        <f>SG5003_CYCLE</f>
        <v>64</v>
      </c>
      <c r="F7" s="182"/>
      <c r="G7" s="182"/>
      <c r="H7" s="182"/>
      <c r="I7" s="183"/>
    </row>
    <row r="8" spans="2:15" x14ac:dyDescent="0.2">
      <c r="B8" s="180"/>
      <c r="C8" s="181"/>
      <c r="D8" s="181"/>
      <c r="E8" s="101" t="s">
        <v>66</v>
      </c>
      <c r="F8" s="101" t="s">
        <v>67</v>
      </c>
      <c r="G8" s="101" t="s">
        <v>68</v>
      </c>
      <c r="H8" s="101" t="s">
        <v>69</v>
      </c>
      <c r="I8" s="102" t="s">
        <v>70</v>
      </c>
    </row>
    <row r="9" spans="2:15" x14ac:dyDescent="0.2">
      <c r="B9" s="184" t="s">
        <v>123</v>
      </c>
      <c r="C9" s="185"/>
      <c r="D9" s="185"/>
      <c r="E9" s="67">
        <f>K18/SG5003_CYCLE</f>
        <v>10</v>
      </c>
      <c r="F9" s="67">
        <f>L18/SG5003_CYCLE</f>
        <v>20</v>
      </c>
      <c r="G9" s="67">
        <f>M18/SG5003_CYCLE</f>
        <v>30</v>
      </c>
      <c r="H9" s="67">
        <f>N18/SG5003_CYCLE</f>
        <v>40</v>
      </c>
      <c r="I9" s="43">
        <f>O18/SG5003_CYCLE</f>
        <v>50</v>
      </c>
    </row>
    <row r="11" spans="2:15" x14ac:dyDescent="0.2">
      <c r="B11" s="137" t="s">
        <v>112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9"/>
    </row>
    <row r="12" spans="2:15" x14ac:dyDescent="0.2">
      <c r="B12" s="100"/>
      <c r="C12" s="101"/>
      <c r="D12" s="101"/>
      <c r="E12" s="101"/>
      <c r="F12" s="134" t="s">
        <v>52</v>
      </c>
      <c r="G12" s="134"/>
      <c r="H12" s="134"/>
      <c r="I12" s="134"/>
      <c r="J12" s="134"/>
      <c r="K12" s="134" t="s">
        <v>113</v>
      </c>
      <c r="L12" s="134"/>
      <c r="M12" s="134"/>
      <c r="N12" s="134"/>
      <c r="O12" s="135"/>
    </row>
    <row r="13" spans="2:15" x14ac:dyDescent="0.2">
      <c r="B13" s="5" t="s">
        <v>186</v>
      </c>
      <c r="C13" s="6" t="s">
        <v>90</v>
      </c>
      <c r="D13" s="6" t="s">
        <v>114</v>
      </c>
      <c r="E13" s="6" t="s">
        <v>53</v>
      </c>
      <c r="F13" s="6" t="s">
        <v>66</v>
      </c>
      <c r="G13" s="6" t="s">
        <v>67</v>
      </c>
      <c r="H13" s="6" t="s">
        <v>68</v>
      </c>
      <c r="I13" s="6" t="s">
        <v>69</v>
      </c>
      <c r="J13" s="6" t="s">
        <v>70</v>
      </c>
      <c r="K13" s="6" t="s">
        <v>66</v>
      </c>
      <c r="L13" s="6" t="s">
        <v>67</v>
      </c>
      <c r="M13" s="6" t="s">
        <v>68</v>
      </c>
      <c r="N13" s="6" t="s">
        <v>69</v>
      </c>
      <c r="O13" s="8" t="s">
        <v>70</v>
      </c>
    </row>
    <row r="14" spans="2:15" x14ac:dyDescent="0.2">
      <c r="B14" s="44" t="s">
        <v>196</v>
      </c>
      <c r="C14" s="33" t="s">
        <v>177</v>
      </c>
      <c r="D14" s="108">
        <v>38</v>
      </c>
      <c r="E14" s="90">
        <f>D14/SG5003_CYCLE</f>
        <v>0.59375</v>
      </c>
      <c r="F14" s="107">
        <v>5</v>
      </c>
      <c r="G14" s="107">
        <v>10</v>
      </c>
      <c r="H14" s="107">
        <v>15</v>
      </c>
      <c r="I14" s="107">
        <v>20</v>
      </c>
      <c r="J14" s="107">
        <v>25</v>
      </c>
      <c r="K14" s="38">
        <f t="shared" ref="K14:O17" si="0">$D14*F14</f>
        <v>190</v>
      </c>
      <c r="L14" s="38">
        <f t="shared" si="0"/>
        <v>380</v>
      </c>
      <c r="M14" s="38">
        <f t="shared" si="0"/>
        <v>570</v>
      </c>
      <c r="N14" s="38">
        <f t="shared" si="0"/>
        <v>760</v>
      </c>
      <c r="O14" s="70">
        <f t="shared" si="0"/>
        <v>950</v>
      </c>
    </row>
    <row r="15" spans="2:15" x14ac:dyDescent="0.2">
      <c r="B15" s="44" t="s">
        <v>197</v>
      </c>
      <c r="C15" s="33" t="s">
        <v>178</v>
      </c>
      <c r="D15" s="108">
        <v>16</v>
      </c>
      <c r="E15" s="90">
        <f>D15/SG5003_CYCLE</f>
        <v>0.25</v>
      </c>
      <c r="F15" s="107">
        <v>10</v>
      </c>
      <c r="G15" s="107">
        <v>20</v>
      </c>
      <c r="H15" s="107">
        <v>30</v>
      </c>
      <c r="I15" s="107">
        <v>40</v>
      </c>
      <c r="J15" s="107">
        <v>50</v>
      </c>
      <c r="K15" s="38">
        <f t="shared" si="0"/>
        <v>160</v>
      </c>
      <c r="L15" s="38">
        <f t="shared" si="0"/>
        <v>320</v>
      </c>
      <c r="M15" s="38">
        <f t="shared" si="0"/>
        <v>480</v>
      </c>
      <c r="N15" s="38">
        <f t="shared" si="0"/>
        <v>640</v>
      </c>
      <c r="O15" s="70">
        <f t="shared" si="0"/>
        <v>800</v>
      </c>
    </row>
    <row r="16" spans="2:15" x14ac:dyDescent="0.2">
      <c r="B16" s="44" t="s">
        <v>198</v>
      </c>
      <c r="C16" s="33" t="s">
        <v>179</v>
      </c>
      <c r="D16" s="108">
        <v>7</v>
      </c>
      <c r="E16" s="90">
        <f>D16/SG5003_CYCLE</f>
        <v>0.109375</v>
      </c>
      <c r="F16" s="107">
        <v>20</v>
      </c>
      <c r="G16" s="107">
        <v>40</v>
      </c>
      <c r="H16" s="107">
        <v>60</v>
      </c>
      <c r="I16" s="107">
        <v>80</v>
      </c>
      <c r="J16" s="107">
        <v>100</v>
      </c>
      <c r="K16" s="38">
        <f t="shared" si="0"/>
        <v>140</v>
      </c>
      <c r="L16" s="38">
        <f t="shared" si="0"/>
        <v>280</v>
      </c>
      <c r="M16" s="38">
        <f t="shared" si="0"/>
        <v>420</v>
      </c>
      <c r="N16" s="38">
        <f t="shared" si="0"/>
        <v>560</v>
      </c>
      <c r="O16" s="70">
        <f t="shared" si="0"/>
        <v>700</v>
      </c>
    </row>
    <row r="17" spans="2:15" x14ac:dyDescent="0.2">
      <c r="B17" s="44" t="s">
        <v>199</v>
      </c>
      <c r="C17" s="33" t="s">
        <v>180</v>
      </c>
      <c r="D17" s="108">
        <v>3</v>
      </c>
      <c r="E17" s="90">
        <f>D17/SG5003_CYCLE</f>
        <v>4.6875E-2</v>
      </c>
      <c r="F17" s="107">
        <v>50</v>
      </c>
      <c r="G17" s="107">
        <v>100</v>
      </c>
      <c r="H17" s="107">
        <v>150</v>
      </c>
      <c r="I17" s="107">
        <v>200</v>
      </c>
      <c r="J17" s="107">
        <v>250</v>
      </c>
      <c r="K17" s="38">
        <f t="shared" si="0"/>
        <v>150</v>
      </c>
      <c r="L17" s="38">
        <f t="shared" si="0"/>
        <v>300</v>
      </c>
      <c r="M17" s="38">
        <f t="shared" si="0"/>
        <v>450</v>
      </c>
      <c r="N17" s="38">
        <f t="shared" si="0"/>
        <v>600</v>
      </c>
      <c r="O17" s="70">
        <f t="shared" si="0"/>
        <v>750</v>
      </c>
    </row>
    <row r="18" spans="2:15" x14ac:dyDescent="0.2">
      <c r="B18" s="13"/>
      <c r="C18" s="14"/>
      <c r="D18" s="14">
        <f>SUM(D14:D17)</f>
        <v>64</v>
      </c>
      <c r="E18" s="105">
        <f>SUM(E14:E17)</f>
        <v>1</v>
      </c>
      <c r="F18" s="23"/>
      <c r="G18" s="23"/>
      <c r="H18" s="23"/>
      <c r="I18" s="23"/>
      <c r="J18" s="23"/>
      <c r="K18" s="23">
        <f>SUM(K14:K17)</f>
        <v>640</v>
      </c>
      <c r="L18" s="23">
        <f>SUM(L14:L17)</f>
        <v>1280</v>
      </c>
      <c r="M18" s="23">
        <f>SUM(M14:M17)</f>
        <v>1920</v>
      </c>
      <c r="N18" s="23">
        <f>SUM(N14:N17)</f>
        <v>2560</v>
      </c>
      <c r="O18" s="106">
        <f>SUM(O14:O17)</f>
        <v>3200</v>
      </c>
    </row>
  </sheetData>
  <mergeCells count="7">
    <mergeCell ref="B11:O11"/>
    <mergeCell ref="B9:D9"/>
    <mergeCell ref="B2:C2"/>
    <mergeCell ref="B6:I6"/>
    <mergeCell ref="B7:D7"/>
    <mergeCell ref="E7:I7"/>
    <mergeCell ref="B8:D8"/>
  </mergeCells>
  <conditionalFormatting sqref="E9:I9">
    <cfRule type="cellIs" dxfId="2" priority="1" operator="notEqual">
      <formula>VLOOKUP("SECG-5003",OFFSET(PAYTABLE, 0, 4), COLUMN() - 2)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19"/>
  <sheetViews>
    <sheetView workbookViewId="0">
      <selection activeCell="B2" sqref="B2:C2"/>
    </sheetView>
  </sheetViews>
  <sheetFormatPr defaultColWidth="4.7109375" defaultRowHeight="12.75" x14ac:dyDescent="0.2"/>
  <cols>
    <col min="1" max="1" width="4.7109375" style="1"/>
    <col min="2" max="2" width="10.28515625" style="1" bestFit="1" customWidth="1"/>
    <col min="3" max="3" width="12.140625" style="1" customWidth="1"/>
    <col min="4" max="4" width="7.85546875" style="1" bestFit="1" customWidth="1"/>
    <col min="5" max="9" width="7.5703125" style="1" bestFit="1" customWidth="1"/>
    <col min="10" max="10" width="9" style="1" bestFit="1" customWidth="1"/>
    <col min="11" max="16384" width="4.7109375" style="1"/>
  </cols>
  <sheetData>
    <row r="1" spans="2:9" x14ac:dyDescent="0.2">
      <c r="B1" s="1" t="s">
        <v>220</v>
      </c>
    </row>
    <row r="2" spans="2:9" x14ac:dyDescent="0.2">
      <c r="B2" s="137" t="s">
        <v>110</v>
      </c>
      <c r="C2" s="139"/>
    </row>
    <row r="3" spans="2:9" x14ac:dyDescent="0.2">
      <c r="B3" s="103" t="s">
        <v>4</v>
      </c>
      <c r="C3" s="98" t="s">
        <v>128</v>
      </c>
    </row>
    <row r="4" spans="2:9" x14ac:dyDescent="0.2">
      <c r="B4" s="104" t="s">
        <v>101</v>
      </c>
      <c r="C4" s="99" t="s">
        <v>130</v>
      </c>
      <c r="D4" s="97"/>
    </row>
    <row r="6" spans="2:9" x14ac:dyDescent="0.2">
      <c r="B6" s="137" t="s">
        <v>115</v>
      </c>
      <c r="C6" s="138"/>
      <c r="D6" s="138"/>
      <c r="E6" s="138"/>
      <c r="F6" s="138"/>
      <c r="G6" s="138"/>
      <c r="H6" s="138"/>
      <c r="I6" s="139"/>
    </row>
    <row r="7" spans="2:9" x14ac:dyDescent="0.2">
      <c r="B7" s="180" t="s">
        <v>133</v>
      </c>
      <c r="C7" s="181"/>
      <c r="D7" s="181"/>
      <c r="E7" s="189">
        <v>1</v>
      </c>
      <c r="F7" s="189"/>
      <c r="G7" s="189"/>
      <c r="H7" s="189"/>
      <c r="I7" s="190"/>
    </row>
    <row r="8" spans="2:9" x14ac:dyDescent="0.2">
      <c r="B8" s="180" t="s">
        <v>215</v>
      </c>
      <c r="C8" s="181"/>
      <c r="D8" s="181"/>
      <c r="E8" s="189">
        <v>3</v>
      </c>
      <c r="F8" s="189"/>
      <c r="G8" s="189"/>
      <c r="H8" s="189"/>
      <c r="I8" s="190"/>
    </row>
    <row r="9" spans="2:9" x14ac:dyDescent="0.2">
      <c r="B9" s="180" t="s">
        <v>116</v>
      </c>
      <c r="C9" s="181"/>
      <c r="D9" s="181"/>
      <c r="E9" s="182">
        <f>COMBIN(E8,E7)</f>
        <v>3</v>
      </c>
      <c r="F9" s="182"/>
      <c r="G9" s="182"/>
      <c r="H9" s="182"/>
      <c r="I9" s="183"/>
    </row>
    <row r="10" spans="2:9" x14ac:dyDescent="0.2">
      <c r="B10" s="180"/>
      <c r="C10" s="181"/>
      <c r="D10" s="181"/>
      <c r="E10" s="101" t="s">
        <v>66</v>
      </c>
      <c r="F10" s="101" t="s">
        <v>67</v>
      </c>
      <c r="G10" s="101" t="s">
        <v>68</v>
      </c>
      <c r="H10" s="101" t="s">
        <v>69</v>
      </c>
      <c r="I10" s="102" t="s">
        <v>70</v>
      </c>
    </row>
    <row r="11" spans="2:9" x14ac:dyDescent="0.2">
      <c r="B11" s="184" t="s">
        <v>123</v>
      </c>
      <c r="C11" s="185"/>
      <c r="D11" s="185"/>
      <c r="E11" s="67">
        <f>SG5004_COUNT*D19</f>
        <v>5</v>
      </c>
      <c r="F11" s="67">
        <f>SG5004_COUNT*E19</f>
        <v>10</v>
      </c>
      <c r="G11" s="67">
        <f>SG5004_COUNT*F19</f>
        <v>15</v>
      </c>
      <c r="H11" s="67">
        <f>SG5004_COUNT*G19</f>
        <v>20</v>
      </c>
      <c r="I11" s="43">
        <f>SG5004_COUNT*H19</f>
        <v>25</v>
      </c>
    </row>
    <row r="13" spans="2:9" x14ac:dyDescent="0.2">
      <c r="B13" s="137" t="s">
        <v>112</v>
      </c>
      <c r="C13" s="138"/>
      <c r="D13" s="138"/>
      <c r="E13" s="138"/>
      <c r="F13" s="138"/>
      <c r="G13" s="138"/>
      <c r="H13" s="139"/>
    </row>
    <row r="14" spans="2:9" x14ac:dyDescent="0.2">
      <c r="B14" s="100"/>
      <c r="C14" s="101"/>
      <c r="D14" s="134" t="s">
        <v>52</v>
      </c>
      <c r="E14" s="134"/>
      <c r="F14" s="134"/>
      <c r="G14" s="134"/>
      <c r="H14" s="135"/>
    </row>
    <row r="15" spans="2:9" x14ac:dyDescent="0.2">
      <c r="B15" s="5" t="s">
        <v>186</v>
      </c>
      <c r="C15" s="6" t="s">
        <v>90</v>
      </c>
      <c r="D15" s="6" t="s">
        <v>66</v>
      </c>
      <c r="E15" s="6" t="s">
        <v>67</v>
      </c>
      <c r="F15" s="6" t="s">
        <v>68</v>
      </c>
      <c r="G15" s="6" t="s">
        <v>69</v>
      </c>
      <c r="H15" s="8" t="s">
        <v>70</v>
      </c>
    </row>
    <row r="16" spans="2:9" x14ac:dyDescent="0.2">
      <c r="B16" s="44" t="s">
        <v>200</v>
      </c>
      <c r="C16" s="33" t="s">
        <v>177</v>
      </c>
      <c r="D16" s="107">
        <v>2</v>
      </c>
      <c r="E16" s="107">
        <v>4</v>
      </c>
      <c r="F16" s="107">
        <v>6</v>
      </c>
      <c r="G16" s="107">
        <v>8</v>
      </c>
      <c r="H16" s="122">
        <v>10</v>
      </c>
    </row>
    <row r="17" spans="2:8" x14ac:dyDescent="0.2">
      <c r="B17" s="44" t="s">
        <v>201</v>
      </c>
      <c r="C17" s="33" t="s">
        <v>178</v>
      </c>
      <c r="D17" s="107">
        <v>3</v>
      </c>
      <c r="E17" s="107">
        <v>6</v>
      </c>
      <c r="F17" s="107">
        <v>9</v>
      </c>
      <c r="G17" s="107">
        <v>12</v>
      </c>
      <c r="H17" s="122">
        <v>15</v>
      </c>
    </row>
    <row r="18" spans="2:8" x14ac:dyDescent="0.2">
      <c r="B18" s="44" t="s">
        <v>202</v>
      </c>
      <c r="C18" s="33" t="s">
        <v>179</v>
      </c>
      <c r="D18" s="107">
        <v>10</v>
      </c>
      <c r="E18" s="107">
        <v>20</v>
      </c>
      <c r="F18" s="107">
        <v>30</v>
      </c>
      <c r="G18" s="107">
        <v>40</v>
      </c>
      <c r="H18" s="122">
        <v>50</v>
      </c>
    </row>
    <row r="19" spans="2:8" x14ac:dyDescent="0.2">
      <c r="B19" s="178" t="s">
        <v>187</v>
      </c>
      <c r="C19" s="179"/>
      <c r="D19" s="23">
        <f>AVERAGE(D16:D18)</f>
        <v>5</v>
      </c>
      <c r="E19" s="23">
        <f t="shared" ref="E19:H19" si="0">AVERAGE(E16:E18)</f>
        <v>10</v>
      </c>
      <c r="F19" s="23">
        <f t="shared" si="0"/>
        <v>15</v>
      </c>
      <c r="G19" s="23">
        <f t="shared" si="0"/>
        <v>20</v>
      </c>
      <c r="H19" s="106">
        <f t="shared" si="0"/>
        <v>25</v>
      </c>
    </row>
  </sheetData>
  <mergeCells count="12">
    <mergeCell ref="B13:H13"/>
    <mergeCell ref="B19:C19"/>
    <mergeCell ref="B11:D11"/>
    <mergeCell ref="B2:C2"/>
    <mergeCell ref="B6:I6"/>
    <mergeCell ref="B9:D9"/>
    <mergeCell ref="E9:I9"/>
    <mergeCell ref="B10:D10"/>
    <mergeCell ref="B8:D8"/>
    <mergeCell ref="E8:I8"/>
    <mergeCell ref="B7:D7"/>
    <mergeCell ref="E7:I7"/>
  </mergeCells>
  <conditionalFormatting sqref="E11:I11">
    <cfRule type="cellIs" dxfId="1" priority="1" operator="notEqual">
      <formula>VLOOKUP("SECG-5004",OFFSET(PAYTABLE, 0, 4), COLUMN() - 2)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O42"/>
  <sheetViews>
    <sheetView workbookViewId="0">
      <selection activeCell="B2" sqref="B2:D2"/>
    </sheetView>
  </sheetViews>
  <sheetFormatPr defaultColWidth="4.7109375" defaultRowHeight="12.75" x14ac:dyDescent="0.2"/>
  <cols>
    <col min="1" max="1" width="4.7109375" style="1"/>
    <col min="2" max="2" width="10.28515625" style="1" bestFit="1" customWidth="1"/>
    <col min="3" max="3" width="10.28515625" style="1" customWidth="1"/>
    <col min="4" max="4" width="9.42578125" style="1" bestFit="1" customWidth="1"/>
    <col min="5" max="5" width="7.85546875" style="1" bestFit="1" customWidth="1"/>
    <col min="6" max="10" width="7.5703125" style="1" bestFit="1" customWidth="1"/>
    <col min="11" max="15" width="9" style="1" bestFit="1" customWidth="1"/>
    <col min="16" max="16384" width="4.7109375" style="1"/>
  </cols>
  <sheetData>
    <row r="1" spans="2:15" x14ac:dyDescent="0.2">
      <c r="B1" s="1" t="s">
        <v>221</v>
      </c>
    </row>
    <row r="2" spans="2:15" x14ac:dyDescent="0.2">
      <c r="B2" s="137" t="s">
        <v>110</v>
      </c>
      <c r="C2" s="138"/>
      <c r="D2" s="139"/>
    </row>
    <row r="3" spans="2:15" x14ac:dyDescent="0.2">
      <c r="B3" s="103" t="s">
        <v>4</v>
      </c>
      <c r="C3" s="128"/>
      <c r="D3" s="98" t="s">
        <v>129</v>
      </c>
    </row>
    <row r="4" spans="2:15" x14ac:dyDescent="0.2">
      <c r="B4" s="104" t="s">
        <v>101</v>
      </c>
      <c r="C4" s="129"/>
      <c r="D4" s="99" t="s">
        <v>131</v>
      </c>
      <c r="E4" s="97"/>
    </row>
    <row r="6" spans="2:15" x14ac:dyDescent="0.2">
      <c r="B6" s="137" t="s">
        <v>115</v>
      </c>
      <c r="C6" s="138"/>
      <c r="D6" s="138"/>
      <c r="E6" s="138"/>
      <c r="F6" s="138"/>
      <c r="G6" s="138"/>
      <c r="H6" s="138"/>
      <c r="I6" s="138"/>
      <c r="J6" s="139"/>
    </row>
    <row r="7" spans="2:15" x14ac:dyDescent="0.2">
      <c r="B7" s="180" t="s">
        <v>116</v>
      </c>
      <c r="C7" s="181"/>
      <c r="D7" s="181"/>
      <c r="E7" s="181"/>
      <c r="F7" s="182">
        <f>SG5005_CYCLE</f>
        <v>1948</v>
      </c>
      <c r="G7" s="182"/>
      <c r="H7" s="182"/>
      <c r="I7" s="182"/>
      <c r="J7" s="183"/>
    </row>
    <row r="8" spans="2:15" x14ac:dyDescent="0.2">
      <c r="B8" s="180"/>
      <c r="C8" s="181"/>
      <c r="D8" s="181"/>
      <c r="E8" s="181"/>
      <c r="F8" s="101" t="s">
        <v>66</v>
      </c>
      <c r="G8" s="101" t="s">
        <v>67</v>
      </c>
      <c r="H8" s="101" t="s">
        <v>68</v>
      </c>
      <c r="I8" s="101" t="s">
        <v>69</v>
      </c>
      <c r="J8" s="102" t="s">
        <v>70</v>
      </c>
    </row>
    <row r="9" spans="2:15" x14ac:dyDescent="0.2">
      <c r="B9" s="184" t="s">
        <v>123</v>
      </c>
      <c r="C9" s="185"/>
      <c r="D9" s="185"/>
      <c r="E9" s="185"/>
      <c r="F9" s="67">
        <f>K30/SG5005_CYCLE</f>
        <v>0</v>
      </c>
      <c r="G9" s="67">
        <f>L30/SG5005_CYCLE</f>
        <v>0</v>
      </c>
      <c r="H9" s="67">
        <f>M30/SG5005_CYCLE</f>
        <v>0</v>
      </c>
      <c r="I9" s="67">
        <f>N30/SG5005_CYCLE</f>
        <v>0</v>
      </c>
      <c r="J9" s="43">
        <f>O30/SG5005_CYCLE</f>
        <v>10</v>
      </c>
    </row>
    <row r="11" spans="2:15" x14ac:dyDescent="0.2">
      <c r="B11" s="137" t="s">
        <v>210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9"/>
    </row>
    <row r="12" spans="2:15" x14ac:dyDescent="0.2">
      <c r="B12" s="100"/>
      <c r="C12" s="101"/>
      <c r="D12" s="101"/>
      <c r="E12" s="101"/>
      <c r="F12" s="172" t="s">
        <v>52</v>
      </c>
      <c r="G12" s="172"/>
      <c r="H12" s="172"/>
      <c r="I12" s="172"/>
      <c r="J12" s="172"/>
      <c r="K12" s="172" t="s">
        <v>113</v>
      </c>
      <c r="L12" s="172"/>
      <c r="M12" s="172"/>
      <c r="N12" s="172"/>
      <c r="O12" s="173"/>
    </row>
    <row r="13" spans="2:15" x14ac:dyDescent="0.2">
      <c r="B13" s="5" t="s">
        <v>91</v>
      </c>
      <c r="C13" s="6" t="s">
        <v>90</v>
      </c>
      <c r="D13" s="6" t="s">
        <v>114</v>
      </c>
      <c r="E13" s="6" t="s">
        <v>53</v>
      </c>
      <c r="F13" s="6" t="s">
        <v>66</v>
      </c>
      <c r="G13" s="6" t="s">
        <v>67</v>
      </c>
      <c r="H13" s="6" t="s">
        <v>68</v>
      </c>
      <c r="I13" s="6" t="s">
        <v>69</v>
      </c>
      <c r="J13" s="6" t="s">
        <v>70</v>
      </c>
      <c r="K13" s="6" t="s">
        <v>66</v>
      </c>
      <c r="L13" s="6" t="s">
        <v>67</v>
      </c>
      <c r="M13" s="6" t="s">
        <v>68</v>
      </c>
      <c r="N13" s="6" t="s">
        <v>69</v>
      </c>
      <c r="O13" s="8" t="s">
        <v>70</v>
      </c>
    </row>
    <row r="14" spans="2:15" x14ac:dyDescent="0.2">
      <c r="B14" s="44">
        <v>0</v>
      </c>
      <c r="C14" s="33" t="s">
        <v>180</v>
      </c>
      <c r="D14" s="108">
        <v>8</v>
      </c>
      <c r="E14" s="90">
        <f t="shared" ref="E14:E20" si="0">D14/SG5005_CYCLE</f>
        <v>4.1067761806981521E-3</v>
      </c>
      <c r="F14" s="107"/>
      <c r="G14" s="107"/>
      <c r="H14" s="107"/>
      <c r="I14" s="107"/>
      <c r="J14" s="107">
        <v>50</v>
      </c>
      <c r="K14" s="38">
        <f>$D14*F14</f>
        <v>0</v>
      </c>
      <c r="L14" s="38">
        <f t="shared" ref="L14:N14" si="1">$D14*G14</f>
        <v>0</v>
      </c>
      <c r="M14" s="38">
        <f t="shared" si="1"/>
        <v>0</v>
      </c>
      <c r="N14" s="38">
        <f t="shared" si="1"/>
        <v>0</v>
      </c>
      <c r="O14" s="70">
        <f t="shared" ref="O14:O29" si="2">$D14*J14</f>
        <v>400</v>
      </c>
    </row>
    <row r="15" spans="2:15" x14ac:dyDescent="0.2">
      <c r="B15" s="44">
        <v>1</v>
      </c>
      <c r="C15" s="33" t="s">
        <v>182</v>
      </c>
      <c r="D15" s="108">
        <v>2</v>
      </c>
      <c r="E15" s="90">
        <f t="shared" si="0"/>
        <v>1.026694045174538E-3</v>
      </c>
      <c r="F15" s="107"/>
      <c r="G15" s="107"/>
      <c r="H15" s="107"/>
      <c r="I15" s="107"/>
      <c r="J15" s="107">
        <v>250</v>
      </c>
      <c r="K15" s="38">
        <f t="shared" ref="K15:K29" si="3">$D15*F15</f>
        <v>0</v>
      </c>
      <c r="L15" s="38">
        <f t="shared" ref="L15:L29" si="4">$D15*G15</f>
        <v>0</v>
      </c>
      <c r="M15" s="38">
        <f t="shared" ref="M15:M29" si="5">$D15*H15</f>
        <v>0</v>
      </c>
      <c r="N15" s="38">
        <f t="shared" ref="N15:N29" si="6">$D15*I15</f>
        <v>0</v>
      </c>
      <c r="O15" s="70">
        <f t="shared" si="2"/>
        <v>500</v>
      </c>
    </row>
    <row r="16" spans="2:15" x14ac:dyDescent="0.2">
      <c r="B16" s="44">
        <v>2</v>
      </c>
      <c r="C16" s="33" t="s">
        <v>177</v>
      </c>
      <c r="D16" s="108">
        <v>371</v>
      </c>
      <c r="E16" s="90">
        <f t="shared" si="0"/>
        <v>0.1904517453798768</v>
      </c>
      <c r="F16" s="107"/>
      <c r="G16" s="107"/>
      <c r="H16" s="107"/>
      <c r="I16" s="107"/>
      <c r="J16" s="107">
        <v>5</v>
      </c>
      <c r="K16" s="38">
        <f t="shared" si="3"/>
        <v>0</v>
      </c>
      <c r="L16" s="38">
        <f t="shared" si="4"/>
        <v>0</v>
      </c>
      <c r="M16" s="38">
        <f t="shared" si="5"/>
        <v>0</v>
      </c>
      <c r="N16" s="38">
        <f t="shared" si="6"/>
        <v>0</v>
      </c>
      <c r="O16" s="70">
        <f t="shared" si="2"/>
        <v>1855</v>
      </c>
    </row>
    <row r="17" spans="2:15" x14ac:dyDescent="0.2">
      <c r="B17" s="44">
        <v>3</v>
      </c>
      <c r="C17" s="33" t="s">
        <v>178</v>
      </c>
      <c r="D17" s="108">
        <v>300</v>
      </c>
      <c r="E17" s="90">
        <f t="shared" si="0"/>
        <v>0.1540041067761807</v>
      </c>
      <c r="F17" s="107"/>
      <c r="G17" s="107"/>
      <c r="H17" s="107"/>
      <c r="I17" s="107"/>
      <c r="J17" s="107">
        <v>10</v>
      </c>
      <c r="K17" s="38">
        <f t="shared" si="3"/>
        <v>0</v>
      </c>
      <c r="L17" s="38">
        <f t="shared" si="4"/>
        <v>0</v>
      </c>
      <c r="M17" s="38">
        <f t="shared" si="5"/>
        <v>0</v>
      </c>
      <c r="N17" s="38">
        <f t="shared" si="6"/>
        <v>0</v>
      </c>
      <c r="O17" s="70">
        <f t="shared" si="2"/>
        <v>3000</v>
      </c>
    </row>
    <row r="18" spans="2:15" x14ac:dyDescent="0.2">
      <c r="B18" s="44">
        <v>4</v>
      </c>
      <c r="C18" s="33" t="s">
        <v>183</v>
      </c>
      <c r="D18" s="108">
        <v>1</v>
      </c>
      <c r="E18" s="90">
        <f t="shared" si="0"/>
        <v>5.1334702258726901E-4</v>
      </c>
      <c r="F18" s="107"/>
      <c r="G18" s="107"/>
      <c r="H18" s="107"/>
      <c r="I18" s="107"/>
      <c r="J18" s="107">
        <v>500</v>
      </c>
      <c r="K18" s="38">
        <f t="shared" si="3"/>
        <v>0</v>
      </c>
      <c r="L18" s="38">
        <f t="shared" si="4"/>
        <v>0</v>
      </c>
      <c r="M18" s="38">
        <f t="shared" si="5"/>
        <v>0</v>
      </c>
      <c r="N18" s="38">
        <f t="shared" si="6"/>
        <v>0</v>
      </c>
      <c r="O18" s="70">
        <f t="shared" si="2"/>
        <v>500</v>
      </c>
    </row>
    <row r="19" spans="2:15" x14ac:dyDescent="0.2">
      <c r="B19" s="44">
        <v>5</v>
      </c>
      <c r="C19" s="33" t="s">
        <v>179</v>
      </c>
      <c r="D19" s="108">
        <v>101</v>
      </c>
      <c r="E19" s="90">
        <f t="shared" si="0"/>
        <v>5.1848049281314167E-2</v>
      </c>
      <c r="F19" s="107"/>
      <c r="G19" s="107"/>
      <c r="H19" s="107"/>
      <c r="I19" s="107"/>
      <c r="J19" s="107">
        <v>25</v>
      </c>
      <c r="K19" s="38">
        <f t="shared" si="3"/>
        <v>0</v>
      </c>
      <c r="L19" s="38">
        <f t="shared" si="4"/>
        <v>0</v>
      </c>
      <c r="M19" s="38">
        <f t="shared" si="5"/>
        <v>0</v>
      </c>
      <c r="N19" s="38">
        <f t="shared" si="6"/>
        <v>0</v>
      </c>
      <c r="O19" s="70">
        <f t="shared" si="2"/>
        <v>2525</v>
      </c>
    </row>
    <row r="20" spans="2:15" x14ac:dyDescent="0.2">
      <c r="B20" s="44">
        <v>6</v>
      </c>
      <c r="C20" s="33" t="s">
        <v>181</v>
      </c>
      <c r="D20" s="108">
        <v>2</v>
      </c>
      <c r="E20" s="90">
        <f t="shared" si="0"/>
        <v>1.026694045174538E-3</v>
      </c>
      <c r="F20" s="107"/>
      <c r="G20" s="107"/>
      <c r="H20" s="107"/>
      <c r="I20" s="107"/>
      <c r="J20" s="107">
        <v>100</v>
      </c>
      <c r="K20" s="38">
        <f t="shared" si="3"/>
        <v>0</v>
      </c>
      <c r="L20" s="38">
        <f t="shared" si="4"/>
        <v>0</v>
      </c>
      <c r="M20" s="38">
        <f t="shared" si="5"/>
        <v>0</v>
      </c>
      <c r="N20" s="38">
        <f t="shared" si="6"/>
        <v>0</v>
      </c>
      <c r="O20" s="70">
        <f t="shared" si="2"/>
        <v>200</v>
      </c>
    </row>
    <row r="21" spans="2:15" x14ac:dyDescent="0.2">
      <c r="B21" s="44">
        <v>7</v>
      </c>
      <c r="C21" s="33" t="s">
        <v>180</v>
      </c>
      <c r="D21" s="108">
        <v>8</v>
      </c>
      <c r="E21" s="90">
        <f t="shared" ref="E21:E27" si="7">D21/SG5005_CYCLE</f>
        <v>4.1067761806981521E-3</v>
      </c>
      <c r="F21" s="107"/>
      <c r="G21" s="107"/>
      <c r="H21" s="107"/>
      <c r="I21" s="107"/>
      <c r="J21" s="107">
        <v>50</v>
      </c>
      <c r="K21" s="38">
        <f t="shared" si="3"/>
        <v>0</v>
      </c>
      <c r="L21" s="38">
        <f t="shared" si="4"/>
        <v>0</v>
      </c>
      <c r="M21" s="38">
        <f t="shared" si="5"/>
        <v>0</v>
      </c>
      <c r="N21" s="38">
        <f t="shared" si="6"/>
        <v>0</v>
      </c>
      <c r="O21" s="70">
        <f t="shared" si="2"/>
        <v>400</v>
      </c>
    </row>
    <row r="22" spans="2:15" x14ac:dyDescent="0.2">
      <c r="B22" s="44">
        <v>8</v>
      </c>
      <c r="C22" s="33" t="s">
        <v>177</v>
      </c>
      <c r="D22" s="108">
        <v>371</v>
      </c>
      <c r="E22" s="90">
        <f t="shared" si="7"/>
        <v>0.1904517453798768</v>
      </c>
      <c r="F22" s="107"/>
      <c r="G22" s="107"/>
      <c r="H22" s="107"/>
      <c r="I22" s="107"/>
      <c r="J22" s="107">
        <v>5</v>
      </c>
      <c r="K22" s="38">
        <f t="shared" si="3"/>
        <v>0</v>
      </c>
      <c r="L22" s="38">
        <f t="shared" si="4"/>
        <v>0</v>
      </c>
      <c r="M22" s="38">
        <f t="shared" si="5"/>
        <v>0</v>
      </c>
      <c r="N22" s="38">
        <f t="shared" si="6"/>
        <v>0</v>
      </c>
      <c r="O22" s="70">
        <f t="shared" si="2"/>
        <v>1855</v>
      </c>
    </row>
    <row r="23" spans="2:15" x14ac:dyDescent="0.2">
      <c r="B23" s="44">
        <v>9</v>
      </c>
      <c r="C23" s="33" t="s">
        <v>181</v>
      </c>
      <c r="D23" s="108">
        <v>2</v>
      </c>
      <c r="E23" s="90">
        <f t="shared" si="7"/>
        <v>1.026694045174538E-3</v>
      </c>
      <c r="F23" s="107"/>
      <c r="G23" s="107"/>
      <c r="H23" s="107"/>
      <c r="I23" s="107"/>
      <c r="J23" s="107">
        <v>100</v>
      </c>
      <c r="K23" s="38">
        <f t="shared" si="3"/>
        <v>0</v>
      </c>
      <c r="L23" s="38">
        <f t="shared" si="4"/>
        <v>0</v>
      </c>
      <c r="M23" s="38">
        <f t="shared" si="5"/>
        <v>0</v>
      </c>
      <c r="N23" s="38">
        <f t="shared" si="6"/>
        <v>0</v>
      </c>
      <c r="O23" s="70">
        <f t="shared" si="2"/>
        <v>200</v>
      </c>
    </row>
    <row r="24" spans="2:15" x14ac:dyDescent="0.2">
      <c r="B24" s="44">
        <v>10</v>
      </c>
      <c r="C24" s="33" t="s">
        <v>182</v>
      </c>
      <c r="D24" s="108">
        <v>2</v>
      </c>
      <c r="E24" s="90">
        <f t="shared" si="7"/>
        <v>1.026694045174538E-3</v>
      </c>
      <c r="F24" s="107"/>
      <c r="G24" s="107"/>
      <c r="H24" s="107"/>
      <c r="I24" s="107"/>
      <c r="J24" s="107">
        <v>250</v>
      </c>
      <c r="K24" s="38">
        <f t="shared" si="3"/>
        <v>0</v>
      </c>
      <c r="L24" s="38">
        <f t="shared" si="4"/>
        <v>0</v>
      </c>
      <c r="M24" s="38">
        <f t="shared" si="5"/>
        <v>0</v>
      </c>
      <c r="N24" s="38">
        <f t="shared" si="6"/>
        <v>0</v>
      </c>
      <c r="O24" s="70">
        <f t="shared" si="2"/>
        <v>500</v>
      </c>
    </row>
    <row r="25" spans="2:15" x14ac:dyDescent="0.2">
      <c r="B25" s="44">
        <v>11</v>
      </c>
      <c r="C25" s="33" t="s">
        <v>177</v>
      </c>
      <c r="D25" s="108">
        <v>371</v>
      </c>
      <c r="E25" s="90">
        <f t="shared" si="7"/>
        <v>0.1904517453798768</v>
      </c>
      <c r="F25" s="107"/>
      <c r="G25" s="107"/>
      <c r="H25" s="107"/>
      <c r="I25" s="107"/>
      <c r="J25" s="107">
        <v>5</v>
      </c>
      <c r="K25" s="38">
        <f t="shared" si="3"/>
        <v>0</v>
      </c>
      <c r="L25" s="38">
        <f t="shared" si="4"/>
        <v>0</v>
      </c>
      <c r="M25" s="38">
        <f t="shared" si="5"/>
        <v>0</v>
      </c>
      <c r="N25" s="38">
        <f t="shared" si="6"/>
        <v>0</v>
      </c>
      <c r="O25" s="70">
        <f t="shared" si="2"/>
        <v>1855</v>
      </c>
    </row>
    <row r="26" spans="2:15" x14ac:dyDescent="0.2">
      <c r="B26" s="44">
        <v>12</v>
      </c>
      <c r="C26" s="33" t="s">
        <v>183</v>
      </c>
      <c r="D26" s="108">
        <v>1</v>
      </c>
      <c r="E26" s="90">
        <f t="shared" si="7"/>
        <v>5.1334702258726901E-4</v>
      </c>
      <c r="F26" s="107"/>
      <c r="G26" s="107"/>
      <c r="H26" s="107"/>
      <c r="I26" s="107"/>
      <c r="J26" s="107">
        <v>500</v>
      </c>
      <c r="K26" s="38">
        <f t="shared" si="3"/>
        <v>0</v>
      </c>
      <c r="L26" s="38">
        <f t="shared" si="4"/>
        <v>0</v>
      </c>
      <c r="M26" s="38">
        <f t="shared" si="5"/>
        <v>0</v>
      </c>
      <c r="N26" s="38">
        <f t="shared" si="6"/>
        <v>0</v>
      </c>
      <c r="O26" s="70">
        <f t="shared" si="2"/>
        <v>500</v>
      </c>
    </row>
    <row r="27" spans="2:15" x14ac:dyDescent="0.2">
      <c r="B27" s="44">
        <v>13</v>
      </c>
      <c r="C27" s="33" t="s">
        <v>178</v>
      </c>
      <c r="D27" s="108">
        <v>354</v>
      </c>
      <c r="E27" s="90">
        <f t="shared" si="7"/>
        <v>0.18172484599589322</v>
      </c>
      <c r="F27" s="107"/>
      <c r="G27" s="107"/>
      <c r="H27" s="107"/>
      <c r="I27" s="107"/>
      <c r="J27" s="107">
        <v>10</v>
      </c>
      <c r="K27" s="38">
        <f t="shared" si="3"/>
        <v>0</v>
      </c>
      <c r="L27" s="38">
        <f t="shared" si="4"/>
        <v>0</v>
      </c>
      <c r="M27" s="38">
        <f t="shared" si="5"/>
        <v>0</v>
      </c>
      <c r="N27" s="38">
        <f t="shared" si="6"/>
        <v>0</v>
      </c>
      <c r="O27" s="70">
        <f t="shared" si="2"/>
        <v>3540</v>
      </c>
    </row>
    <row r="28" spans="2:15" x14ac:dyDescent="0.2">
      <c r="B28" s="44">
        <v>14</v>
      </c>
      <c r="C28" s="33" t="s">
        <v>181</v>
      </c>
      <c r="D28" s="108">
        <v>4</v>
      </c>
      <c r="E28" s="90">
        <f t="shared" ref="E28:E29" si="8">D28/SG5005_CYCLE</f>
        <v>2.0533880903490761E-3</v>
      </c>
      <c r="F28" s="107"/>
      <c r="G28" s="107"/>
      <c r="H28" s="107"/>
      <c r="I28" s="107"/>
      <c r="J28" s="107">
        <v>100</v>
      </c>
      <c r="K28" s="38">
        <f t="shared" si="3"/>
        <v>0</v>
      </c>
      <c r="L28" s="38">
        <f t="shared" si="4"/>
        <v>0</v>
      </c>
      <c r="M28" s="38">
        <f t="shared" si="5"/>
        <v>0</v>
      </c>
      <c r="N28" s="38">
        <f t="shared" si="6"/>
        <v>0</v>
      </c>
      <c r="O28" s="70">
        <f t="shared" si="2"/>
        <v>400</v>
      </c>
    </row>
    <row r="29" spans="2:15" x14ac:dyDescent="0.2">
      <c r="B29" s="44">
        <v>15</v>
      </c>
      <c r="C29" s="33" t="s">
        <v>179</v>
      </c>
      <c r="D29" s="108">
        <v>50</v>
      </c>
      <c r="E29" s="90">
        <f t="shared" si="8"/>
        <v>2.5667351129363448E-2</v>
      </c>
      <c r="F29" s="107"/>
      <c r="G29" s="107"/>
      <c r="H29" s="107"/>
      <c r="I29" s="107"/>
      <c r="J29" s="107">
        <v>25</v>
      </c>
      <c r="K29" s="38">
        <f t="shared" si="3"/>
        <v>0</v>
      </c>
      <c r="L29" s="38">
        <f t="shared" si="4"/>
        <v>0</v>
      </c>
      <c r="M29" s="38">
        <f t="shared" si="5"/>
        <v>0</v>
      </c>
      <c r="N29" s="38">
        <f t="shared" si="6"/>
        <v>0</v>
      </c>
      <c r="O29" s="70">
        <f t="shared" si="2"/>
        <v>1250</v>
      </c>
    </row>
    <row r="30" spans="2:15" x14ac:dyDescent="0.2">
      <c r="B30" s="13"/>
      <c r="C30" s="14"/>
      <c r="D30" s="14">
        <f>SUM(D14:D29)</f>
        <v>1948</v>
      </c>
      <c r="E30" s="105">
        <f>SUM(E14:E29)</f>
        <v>1</v>
      </c>
      <c r="F30" s="23"/>
      <c r="G30" s="23"/>
      <c r="H30" s="23"/>
      <c r="I30" s="23"/>
      <c r="J30" s="23"/>
      <c r="K30" s="23">
        <f>SUM(K14:K20)</f>
        <v>0</v>
      </c>
      <c r="L30" s="23">
        <f>SUM(L14:L20)</f>
        <v>0</v>
      </c>
      <c r="M30" s="23">
        <f>SUM(M14:M20)</f>
        <v>0</v>
      </c>
      <c r="N30" s="23">
        <f>SUM(N14:N20)</f>
        <v>0</v>
      </c>
      <c r="O30" s="106">
        <f>SUM(O14:O29)</f>
        <v>19480</v>
      </c>
    </row>
    <row r="32" spans="2:15" x14ac:dyDescent="0.2">
      <c r="B32" s="137" t="s">
        <v>112</v>
      </c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9"/>
    </row>
    <row r="33" spans="2:15" x14ac:dyDescent="0.2">
      <c r="B33" s="100"/>
      <c r="C33" s="101"/>
      <c r="D33" s="101"/>
      <c r="E33" s="101"/>
      <c r="F33" s="134" t="s">
        <v>52</v>
      </c>
      <c r="G33" s="134"/>
      <c r="H33" s="134"/>
      <c r="I33" s="134"/>
      <c r="J33" s="134"/>
      <c r="K33" s="134" t="s">
        <v>113</v>
      </c>
      <c r="L33" s="134"/>
      <c r="M33" s="134"/>
      <c r="N33" s="134"/>
      <c r="O33" s="135"/>
    </row>
    <row r="34" spans="2:15" x14ac:dyDescent="0.2">
      <c r="B34" s="5" t="s">
        <v>186</v>
      </c>
      <c r="C34" s="6" t="s">
        <v>90</v>
      </c>
      <c r="D34" s="6" t="s">
        <v>114</v>
      </c>
      <c r="E34" s="6" t="s">
        <v>53</v>
      </c>
      <c r="F34" s="6" t="s">
        <v>66</v>
      </c>
      <c r="G34" s="6" t="s">
        <v>67</v>
      </c>
      <c r="H34" s="6" t="s">
        <v>68</v>
      </c>
      <c r="I34" s="6" t="s">
        <v>69</v>
      </c>
      <c r="J34" s="6" t="s">
        <v>70</v>
      </c>
      <c r="K34" s="6" t="s">
        <v>66</v>
      </c>
      <c r="L34" s="6" t="s">
        <v>67</v>
      </c>
      <c r="M34" s="6" t="s">
        <v>68</v>
      </c>
      <c r="N34" s="6" t="s">
        <v>69</v>
      </c>
      <c r="O34" s="8" t="s">
        <v>70</v>
      </c>
    </row>
    <row r="35" spans="2:15" x14ac:dyDescent="0.2">
      <c r="B35" s="44" t="s">
        <v>203</v>
      </c>
      <c r="C35" s="33" t="s">
        <v>177</v>
      </c>
      <c r="D35" s="108">
        <v>1113</v>
      </c>
      <c r="E35" s="90">
        <f t="shared" ref="E35:E41" si="9">D35/SG5005_CYCLE</f>
        <v>0.57135523613963035</v>
      </c>
      <c r="F35" s="107"/>
      <c r="G35" s="107"/>
      <c r="H35" s="107"/>
      <c r="I35" s="107"/>
      <c r="J35" s="107">
        <v>5</v>
      </c>
      <c r="K35" s="38">
        <f t="shared" ref="K35:O41" si="10">$D35*F35</f>
        <v>0</v>
      </c>
      <c r="L35" s="38">
        <f t="shared" si="10"/>
        <v>0</v>
      </c>
      <c r="M35" s="38">
        <f t="shared" si="10"/>
        <v>0</v>
      </c>
      <c r="N35" s="38">
        <f t="shared" si="10"/>
        <v>0</v>
      </c>
      <c r="O35" s="70">
        <f t="shared" si="10"/>
        <v>5565</v>
      </c>
    </row>
    <row r="36" spans="2:15" x14ac:dyDescent="0.2">
      <c r="B36" s="44" t="s">
        <v>204</v>
      </c>
      <c r="C36" s="33" t="s">
        <v>178</v>
      </c>
      <c r="D36" s="108">
        <v>654</v>
      </c>
      <c r="E36" s="90">
        <f t="shared" si="9"/>
        <v>0.33572895277207393</v>
      </c>
      <c r="F36" s="107"/>
      <c r="G36" s="107"/>
      <c r="H36" s="107"/>
      <c r="I36" s="107"/>
      <c r="J36" s="107">
        <v>10</v>
      </c>
      <c r="K36" s="38">
        <f t="shared" si="10"/>
        <v>0</v>
      </c>
      <c r="L36" s="38">
        <f t="shared" si="10"/>
        <v>0</v>
      </c>
      <c r="M36" s="38">
        <f t="shared" si="10"/>
        <v>0</v>
      </c>
      <c r="N36" s="38">
        <f t="shared" si="10"/>
        <v>0</v>
      </c>
      <c r="O36" s="70">
        <f t="shared" si="10"/>
        <v>6540</v>
      </c>
    </row>
    <row r="37" spans="2:15" x14ac:dyDescent="0.2">
      <c r="B37" s="44" t="s">
        <v>205</v>
      </c>
      <c r="C37" s="33" t="s">
        <v>179</v>
      </c>
      <c r="D37" s="108">
        <v>151</v>
      </c>
      <c r="E37" s="90">
        <f t="shared" si="9"/>
        <v>7.7515400410677615E-2</v>
      </c>
      <c r="F37" s="107"/>
      <c r="G37" s="107"/>
      <c r="H37" s="107"/>
      <c r="I37" s="107"/>
      <c r="J37" s="107">
        <v>25</v>
      </c>
      <c r="K37" s="38">
        <f t="shared" si="10"/>
        <v>0</v>
      </c>
      <c r="L37" s="38">
        <f t="shared" si="10"/>
        <v>0</v>
      </c>
      <c r="M37" s="38">
        <f t="shared" si="10"/>
        <v>0</v>
      </c>
      <c r="N37" s="38">
        <f t="shared" si="10"/>
        <v>0</v>
      </c>
      <c r="O37" s="70">
        <f t="shared" si="10"/>
        <v>3775</v>
      </c>
    </row>
    <row r="38" spans="2:15" x14ac:dyDescent="0.2">
      <c r="B38" s="44" t="s">
        <v>206</v>
      </c>
      <c r="C38" s="33" t="s">
        <v>180</v>
      </c>
      <c r="D38" s="108">
        <v>16</v>
      </c>
      <c r="E38" s="90">
        <f t="shared" si="9"/>
        <v>8.2135523613963042E-3</v>
      </c>
      <c r="F38" s="107"/>
      <c r="G38" s="107"/>
      <c r="H38" s="107"/>
      <c r="I38" s="107"/>
      <c r="J38" s="107">
        <v>50</v>
      </c>
      <c r="K38" s="38">
        <f t="shared" si="10"/>
        <v>0</v>
      </c>
      <c r="L38" s="38">
        <f t="shared" si="10"/>
        <v>0</v>
      </c>
      <c r="M38" s="38">
        <f t="shared" si="10"/>
        <v>0</v>
      </c>
      <c r="N38" s="38">
        <f t="shared" si="10"/>
        <v>0</v>
      </c>
      <c r="O38" s="70">
        <f t="shared" si="10"/>
        <v>800</v>
      </c>
    </row>
    <row r="39" spans="2:15" x14ac:dyDescent="0.2">
      <c r="B39" s="44" t="s">
        <v>207</v>
      </c>
      <c r="C39" s="33" t="s">
        <v>181</v>
      </c>
      <c r="D39" s="108">
        <v>8</v>
      </c>
      <c r="E39" s="90">
        <f t="shared" si="9"/>
        <v>4.1067761806981521E-3</v>
      </c>
      <c r="F39" s="107"/>
      <c r="G39" s="107"/>
      <c r="H39" s="107"/>
      <c r="I39" s="107"/>
      <c r="J39" s="107">
        <v>100</v>
      </c>
      <c r="K39" s="38">
        <f t="shared" si="10"/>
        <v>0</v>
      </c>
      <c r="L39" s="38">
        <f t="shared" si="10"/>
        <v>0</v>
      </c>
      <c r="M39" s="38">
        <f t="shared" si="10"/>
        <v>0</v>
      </c>
      <c r="N39" s="38">
        <f t="shared" si="10"/>
        <v>0</v>
      </c>
      <c r="O39" s="70">
        <f t="shared" si="10"/>
        <v>800</v>
      </c>
    </row>
    <row r="40" spans="2:15" x14ac:dyDescent="0.2">
      <c r="B40" s="44" t="s">
        <v>208</v>
      </c>
      <c r="C40" s="33" t="s">
        <v>182</v>
      </c>
      <c r="D40" s="108">
        <v>4</v>
      </c>
      <c r="E40" s="90">
        <f t="shared" si="9"/>
        <v>2.0533880903490761E-3</v>
      </c>
      <c r="F40" s="107"/>
      <c r="G40" s="107"/>
      <c r="H40" s="107"/>
      <c r="I40" s="107"/>
      <c r="J40" s="107">
        <v>250</v>
      </c>
      <c r="K40" s="38">
        <f t="shared" si="10"/>
        <v>0</v>
      </c>
      <c r="L40" s="38">
        <f t="shared" si="10"/>
        <v>0</v>
      </c>
      <c r="M40" s="38">
        <f t="shared" si="10"/>
        <v>0</v>
      </c>
      <c r="N40" s="38">
        <f t="shared" si="10"/>
        <v>0</v>
      </c>
      <c r="O40" s="70">
        <f t="shared" si="10"/>
        <v>1000</v>
      </c>
    </row>
    <row r="41" spans="2:15" x14ac:dyDescent="0.2">
      <c r="B41" s="44" t="s">
        <v>209</v>
      </c>
      <c r="C41" s="33" t="s">
        <v>183</v>
      </c>
      <c r="D41" s="108">
        <v>2</v>
      </c>
      <c r="E41" s="90">
        <f t="shared" si="9"/>
        <v>1.026694045174538E-3</v>
      </c>
      <c r="F41" s="107"/>
      <c r="G41" s="107"/>
      <c r="H41" s="107"/>
      <c r="I41" s="107"/>
      <c r="J41" s="107">
        <v>500</v>
      </c>
      <c r="K41" s="38">
        <f t="shared" si="10"/>
        <v>0</v>
      </c>
      <c r="L41" s="38">
        <f t="shared" si="10"/>
        <v>0</v>
      </c>
      <c r="M41" s="38">
        <f t="shared" si="10"/>
        <v>0</v>
      </c>
      <c r="N41" s="38">
        <f t="shared" si="10"/>
        <v>0</v>
      </c>
      <c r="O41" s="70">
        <f t="shared" si="10"/>
        <v>1000</v>
      </c>
    </row>
    <row r="42" spans="2:15" x14ac:dyDescent="0.2">
      <c r="B42" s="13"/>
      <c r="C42" s="14"/>
      <c r="D42" s="14">
        <f>SUM(D35:D41)</f>
        <v>1948</v>
      </c>
      <c r="E42" s="105">
        <f>SUM(E35:E41)</f>
        <v>0.99999999999999989</v>
      </c>
      <c r="F42" s="23"/>
      <c r="G42" s="23"/>
      <c r="H42" s="23"/>
      <c r="I42" s="23"/>
      <c r="J42" s="23"/>
      <c r="K42" s="23">
        <f>SUM(K35:K41)</f>
        <v>0</v>
      </c>
      <c r="L42" s="23">
        <f>SUM(L35:L41)</f>
        <v>0</v>
      </c>
      <c r="M42" s="23">
        <f>SUM(M35:M41)</f>
        <v>0</v>
      </c>
      <c r="N42" s="23">
        <f>SUM(N35:N41)</f>
        <v>0</v>
      </c>
      <c r="O42" s="106">
        <f>SUM(O35:O41)</f>
        <v>19480</v>
      </c>
    </row>
  </sheetData>
  <mergeCells count="10">
    <mergeCell ref="B32:O32"/>
    <mergeCell ref="B9:E9"/>
    <mergeCell ref="B11:O11"/>
    <mergeCell ref="F12:J12"/>
    <mergeCell ref="K12:O12"/>
    <mergeCell ref="B2:D2"/>
    <mergeCell ref="B6:J6"/>
    <mergeCell ref="B7:E7"/>
    <mergeCell ref="F7:J7"/>
    <mergeCell ref="B8:E8"/>
  </mergeCells>
  <conditionalFormatting sqref="F9:J9">
    <cfRule type="cellIs" dxfId="0" priority="1" operator="notEqual">
      <formula>VLOOKUP("SECG-5005",OFFSET(PAYTABLE, 0, 4), COLUMN() - 3)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9BA5-D908-42E9-8EC1-F5206C215544}">
  <dimension ref="A3:W14"/>
  <sheetViews>
    <sheetView workbookViewId="0">
      <selection activeCell="D12" sqref="D12"/>
    </sheetView>
  </sheetViews>
  <sheetFormatPr defaultRowHeight="31.5" x14ac:dyDescent="0.5"/>
  <cols>
    <col min="1" max="2" width="9.140625" style="136"/>
    <col min="3" max="3" width="18.140625" style="136" bestFit="1" customWidth="1"/>
    <col min="4" max="12" width="9.140625" style="136"/>
    <col min="13" max="13" width="10.7109375" style="136" bestFit="1" customWidth="1"/>
    <col min="14" max="16384" width="9.140625" style="136"/>
  </cols>
  <sheetData>
    <row r="3" spans="1:23" x14ac:dyDescent="0.5">
      <c r="B3" s="136" t="s">
        <v>224</v>
      </c>
      <c r="C3" s="136" t="s">
        <v>237</v>
      </c>
      <c r="D3" s="136" t="s">
        <v>232</v>
      </c>
      <c r="E3" s="136" t="s">
        <v>222</v>
      </c>
      <c r="G3" s="136" t="s">
        <v>227</v>
      </c>
      <c r="I3" s="136" t="s">
        <v>228</v>
      </c>
      <c r="L3" s="136" t="s">
        <v>223</v>
      </c>
      <c r="M3" s="136">
        <v>1000</v>
      </c>
    </row>
    <row r="4" spans="1:23" x14ac:dyDescent="0.5">
      <c r="E4" s="136">
        <v>0</v>
      </c>
      <c r="G4" s="136">
        <v>0</v>
      </c>
      <c r="I4" s="136">
        <v>9</v>
      </c>
    </row>
    <row r="5" spans="1:23" x14ac:dyDescent="0.5">
      <c r="E5" s="136">
        <v>1</v>
      </c>
      <c r="G5" s="136">
        <v>1</v>
      </c>
      <c r="I5" s="136">
        <v>1</v>
      </c>
      <c r="L5" s="136" t="s">
        <v>225</v>
      </c>
      <c r="N5" s="136">
        <f>C14*100/M3</f>
        <v>74</v>
      </c>
    </row>
    <row r="6" spans="1:23" x14ac:dyDescent="0.5">
      <c r="E6" s="136">
        <v>2</v>
      </c>
      <c r="G6" s="136">
        <v>2</v>
      </c>
      <c r="I6" s="136">
        <v>2</v>
      </c>
    </row>
    <row r="7" spans="1:23" x14ac:dyDescent="0.5">
      <c r="E7" s="136">
        <v>3</v>
      </c>
      <c r="G7" s="136">
        <v>3</v>
      </c>
      <c r="I7" s="136">
        <v>3</v>
      </c>
      <c r="L7" s="136" t="s">
        <v>226</v>
      </c>
      <c r="M7" s="136">
        <f>100*D14/M3</f>
        <v>10.1</v>
      </c>
    </row>
    <row r="8" spans="1:23" x14ac:dyDescent="0.5">
      <c r="E8" s="136">
        <v>4</v>
      </c>
      <c r="G8" s="136">
        <v>4</v>
      </c>
      <c r="I8" s="136">
        <v>4</v>
      </c>
      <c r="S8" s="136" t="s">
        <v>229</v>
      </c>
    </row>
    <row r="9" spans="1:23" x14ac:dyDescent="0.5">
      <c r="E9" s="136">
        <v>5</v>
      </c>
      <c r="G9" s="136">
        <v>5</v>
      </c>
      <c r="I9" s="136">
        <v>5</v>
      </c>
      <c r="S9" s="136">
        <v>3</v>
      </c>
      <c r="T9" s="136" t="s">
        <v>230</v>
      </c>
      <c r="W9" s="136">
        <v>100</v>
      </c>
    </row>
    <row r="10" spans="1:23" x14ac:dyDescent="0.5">
      <c r="A10" s="136" t="s">
        <v>236</v>
      </c>
      <c r="B10" s="136">
        <v>4</v>
      </c>
      <c r="C10" s="136">
        <f>B10*D10</f>
        <v>360</v>
      </c>
      <c r="D10" s="136">
        <f>1*9*10</f>
        <v>90</v>
      </c>
      <c r="E10" s="136">
        <v>6</v>
      </c>
      <c r="G10" s="136">
        <v>6</v>
      </c>
      <c r="I10" s="136">
        <v>6</v>
      </c>
      <c r="S10" s="136">
        <v>2</v>
      </c>
      <c r="T10" s="136" t="s">
        <v>231</v>
      </c>
      <c r="W10" s="136">
        <v>180</v>
      </c>
    </row>
    <row r="11" spans="1:23" x14ac:dyDescent="0.5">
      <c r="A11" s="136" t="s">
        <v>235</v>
      </c>
      <c r="B11" s="136">
        <v>300</v>
      </c>
      <c r="C11" s="136">
        <f t="shared" ref="C11:C13" si="0">B11*D11</f>
        <v>0</v>
      </c>
      <c r="D11" s="136">
        <v>0</v>
      </c>
      <c r="E11" s="136">
        <v>7</v>
      </c>
      <c r="G11" s="136">
        <v>7</v>
      </c>
      <c r="I11" s="136">
        <v>7</v>
      </c>
    </row>
    <row r="12" spans="1:23" x14ac:dyDescent="0.5">
      <c r="A12" s="136" t="s">
        <v>233</v>
      </c>
      <c r="B12" s="136">
        <v>20</v>
      </c>
      <c r="C12" s="136">
        <f t="shared" si="0"/>
        <v>180</v>
      </c>
      <c r="D12" s="136">
        <v>9</v>
      </c>
      <c r="E12" s="136">
        <v>8</v>
      </c>
      <c r="G12" s="136">
        <v>8</v>
      </c>
      <c r="I12" s="136">
        <v>8</v>
      </c>
    </row>
    <row r="13" spans="1:23" x14ac:dyDescent="0.5">
      <c r="A13" s="136" t="s">
        <v>234</v>
      </c>
      <c r="B13" s="136">
        <v>100</v>
      </c>
      <c r="C13" s="136">
        <f t="shared" si="0"/>
        <v>200</v>
      </c>
      <c r="D13" s="136">
        <v>2</v>
      </c>
      <c r="E13" s="136">
        <v>9</v>
      </c>
      <c r="G13" s="136">
        <v>9</v>
      </c>
      <c r="I13" s="136">
        <v>9</v>
      </c>
    </row>
    <row r="14" spans="1:23" x14ac:dyDescent="0.5">
      <c r="C14" s="136">
        <f>SUM(C4:C13)</f>
        <v>740</v>
      </c>
      <c r="D14" s="136">
        <f>SUM(D4:D13)</f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37</vt:i4>
      </vt:variant>
    </vt:vector>
  </HeadingPairs>
  <TitlesOfParts>
    <vt:vector size="48" baseType="lpstr">
      <vt:lpstr>Header</vt:lpstr>
      <vt:lpstr>Game</vt:lpstr>
      <vt:lpstr>Paytable</vt:lpstr>
      <vt:lpstr>Reel Strips</vt:lpstr>
      <vt:lpstr>Statistics</vt:lpstr>
      <vt:lpstr>SECG-5001</vt:lpstr>
      <vt:lpstr>SECG-5002</vt:lpstr>
      <vt:lpstr>SECG-5003</vt:lpstr>
      <vt:lpstr>SECG-5004</vt:lpstr>
      <vt:lpstr>SECG-5005</vt:lpstr>
      <vt:lpstr>Sheet2</vt:lpstr>
      <vt:lpstr>COIN1_COUT</vt:lpstr>
      <vt:lpstr>COIN1_HITS</vt:lpstr>
      <vt:lpstr>COIN1_HTFQ</vt:lpstr>
      <vt:lpstr>COIN1_POUT</vt:lpstr>
      <vt:lpstr>COIN2_COUT</vt:lpstr>
      <vt:lpstr>COIN2_HITS</vt:lpstr>
      <vt:lpstr>COIN2_HTFQ</vt:lpstr>
      <vt:lpstr>COIN2_POUT</vt:lpstr>
      <vt:lpstr>COIN3_COUT</vt:lpstr>
      <vt:lpstr>COIN3_HITS</vt:lpstr>
      <vt:lpstr>COIN3_HTFQ</vt:lpstr>
      <vt:lpstr>COIN3_POUT</vt:lpstr>
      <vt:lpstr>COIN4_COUT</vt:lpstr>
      <vt:lpstr>COIN4_HITS</vt:lpstr>
      <vt:lpstr>COIN4_HTFQ</vt:lpstr>
      <vt:lpstr>COIN4_POUT</vt:lpstr>
      <vt:lpstr>COIN5_COUT</vt:lpstr>
      <vt:lpstr>COIN5_HITS</vt:lpstr>
      <vt:lpstr>COIN5_HTFQ</vt:lpstr>
      <vt:lpstr>COIN5_POUT</vt:lpstr>
      <vt:lpstr>CYCLE</vt:lpstr>
      <vt:lpstr>PAY_SYMBOLS</vt:lpstr>
      <vt:lpstr>PAYTABLE</vt:lpstr>
      <vt:lpstr>REEL_LAYOUT</vt:lpstr>
      <vt:lpstr>REEL1_ASTOPS</vt:lpstr>
      <vt:lpstr>REEL1_VSTOPS</vt:lpstr>
      <vt:lpstr>REEL2_ASTOPS</vt:lpstr>
      <vt:lpstr>REEL2_VSTOPS</vt:lpstr>
      <vt:lpstr>REEL3_ASTOPS</vt:lpstr>
      <vt:lpstr>REEL3_VSTOPS</vt:lpstr>
      <vt:lpstr>SG5001_COUNT</vt:lpstr>
      <vt:lpstr>SG5002_CYCLE</vt:lpstr>
      <vt:lpstr>SG5003_CYCLE</vt:lpstr>
      <vt:lpstr>SG5004_COUNT</vt:lpstr>
      <vt:lpstr>SG5005_CYCLE</vt:lpstr>
      <vt:lpstr>SYMBOL_FACTORS</vt:lpstr>
      <vt:lpstr>SYMBOLS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atledtech4</dc:creator>
  <cp:lastModifiedBy>Wilson Sam</cp:lastModifiedBy>
  <dcterms:created xsi:type="dcterms:W3CDTF">2011-11-09T10:58:07Z</dcterms:created>
  <dcterms:modified xsi:type="dcterms:W3CDTF">2024-03-22T10:47:21Z</dcterms:modified>
</cp:coreProperties>
</file>